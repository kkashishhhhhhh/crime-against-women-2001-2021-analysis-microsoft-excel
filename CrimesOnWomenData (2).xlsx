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E0F1427D-77D4-4EC6-BB7B-C70B6A54B58C}" xr6:coauthVersionLast="36" xr6:coauthVersionMax="36" xr10:uidLastSave="{00000000-0000-0000-0000-000000000000}"/>
  <bookViews>
    <workbookView xWindow="0" yWindow="0" windowWidth="19200" windowHeight="6810" firstSheet="3" activeTab="3" xr2:uid="{00000000-000D-0000-FFFF-FFFF00000000}"/>
  </bookViews>
  <sheets>
    <sheet name="Sheet5" sheetId="6" r:id="rId1"/>
    <sheet name="Sheet2" sheetId="3" r:id="rId2"/>
    <sheet name="Sheet3" sheetId="4" r:id="rId3"/>
    <sheet name="Sheet11" sheetId="12" r:id="rId4"/>
    <sheet name="Sheet4" sheetId="5" r:id="rId5"/>
    <sheet name="Sheet6" sheetId="7" r:id="rId6"/>
    <sheet name="Sheet7" sheetId="8" r:id="rId7"/>
    <sheet name="Sheet8" sheetId="9" r:id="rId8"/>
    <sheet name="Sheet9" sheetId="10" r:id="rId9"/>
    <sheet name="Sheet15" sheetId="16" r:id="rId10"/>
    <sheet name="Sheet17" sheetId="20" r:id="rId11"/>
    <sheet name="CrimesOnWomenData (2)" sheetId="1" r:id="rId12"/>
  </sheets>
  <definedNames>
    <definedName name="_xlcn.WorksheetConnection_CrimesOnWomenData2.xlsxTable11" hidden="1">Table1[]</definedName>
  </definedNames>
  <calcPr calcId="191029"/>
  <pivotCaches>
    <pivotCache cacheId="4" r:id="rId13"/>
    <pivotCache cacheId="12" r:id="rId14"/>
    <pivotCache cacheId="15" r:id="rId1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CrimesOnWomenData (2).xlsx!Table1"/>
        </x15:modelTables>
      </x15:dataModel>
    </ext>
  </extLst>
</workbook>
</file>

<file path=xl/calcChain.xml><?xml version="1.0" encoding="utf-8"?>
<calcChain xmlns="http://schemas.openxmlformats.org/spreadsheetml/2006/main">
  <c r="J4" i="1" l="1"/>
  <c r="J23" i="1"/>
  <c r="J14" i="1"/>
  <c r="J12" i="1"/>
  <c r="J15" i="1"/>
  <c r="J29" i="1"/>
  <c r="J8" i="1"/>
  <c r="J16" i="1"/>
  <c r="J20" i="1"/>
  <c r="J19" i="1"/>
  <c r="J18" i="1"/>
  <c r="J13" i="1"/>
  <c r="J9" i="1"/>
  <c r="J3" i="1"/>
  <c r="J5" i="1"/>
  <c r="J26" i="1"/>
  <c r="J28" i="1"/>
  <c r="J25" i="1"/>
  <c r="J31" i="1"/>
  <c r="J10" i="1"/>
  <c r="J17" i="1"/>
  <c r="J6" i="1"/>
  <c r="J32" i="1"/>
  <c r="J11" i="1"/>
  <c r="J22" i="1"/>
  <c r="J2" i="1"/>
  <c r="J21" i="1"/>
  <c r="J7" i="1"/>
  <c r="J30" i="1"/>
  <c r="J24" i="1"/>
  <c r="J33" i="1"/>
  <c r="J34" i="1"/>
  <c r="J35" i="1"/>
  <c r="J27" i="1"/>
  <c r="J38" i="1"/>
  <c r="J59" i="1"/>
  <c r="J45" i="1"/>
  <c r="J46" i="1"/>
  <c r="J50" i="1"/>
  <c r="J63" i="1"/>
  <c r="J44" i="1"/>
  <c r="J48" i="1"/>
  <c r="J55" i="1"/>
  <c r="J53" i="1"/>
  <c r="J51" i="1"/>
  <c r="J47" i="1"/>
  <c r="J43" i="1"/>
  <c r="J37" i="1"/>
  <c r="J40" i="1"/>
  <c r="J58" i="1"/>
  <c r="J62" i="1"/>
  <c r="J60" i="1"/>
  <c r="J66" i="1"/>
  <c r="J49" i="1"/>
  <c r="J52" i="1"/>
  <c r="J39" i="1"/>
  <c r="J64" i="1"/>
  <c r="J42" i="1"/>
  <c r="J56" i="1"/>
  <c r="J36" i="1"/>
  <c r="J54" i="1"/>
  <c r="J41" i="1"/>
  <c r="J65" i="1"/>
  <c r="J57" i="1"/>
  <c r="J67" i="1"/>
  <c r="J68" i="1"/>
  <c r="J69" i="1"/>
  <c r="J61" i="1"/>
  <c r="J70" i="1"/>
  <c r="J93" i="1"/>
  <c r="J79" i="1"/>
  <c r="J80" i="1"/>
  <c r="J84" i="1"/>
  <c r="J96" i="1"/>
  <c r="J77" i="1"/>
  <c r="J83" i="1"/>
  <c r="J89" i="1"/>
  <c r="J87" i="1"/>
  <c r="J86" i="1"/>
  <c r="J82" i="1"/>
  <c r="J78" i="1"/>
  <c r="J71" i="1"/>
  <c r="J74" i="1"/>
  <c r="J94" i="1"/>
  <c r="J97" i="1"/>
  <c r="J92" i="1"/>
  <c r="J99" i="1"/>
  <c r="J81" i="1"/>
  <c r="J85" i="1"/>
  <c r="J73" i="1"/>
  <c r="J98" i="1"/>
  <c r="J76" i="1"/>
  <c r="J90" i="1"/>
  <c r="J72" i="1"/>
  <c r="J88" i="1"/>
  <c r="J75" i="1"/>
  <c r="J100" i="1"/>
  <c r="J91" i="1"/>
  <c r="J101" i="1"/>
  <c r="J102" i="1"/>
  <c r="J103" i="1"/>
  <c r="J95" i="1"/>
  <c r="J104" i="1"/>
  <c r="J126" i="1"/>
  <c r="J114" i="1"/>
  <c r="J110" i="1"/>
  <c r="J118" i="1"/>
  <c r="J129" i="1"/>
  <c r="J112" i="1"/>
  <c r="J116" i="1"/>
  <c r="J123" i="1"/>
  <c r="J120" i="1"/>
  <c r="J119" i="1"/>
  <c r="J117" i="1"/>
  <c r="J111" i="1"/>
  <c r="J105" i="1"/>
  <c r="J108" i="1"/>
  <c r="J127" i="1"/>
  <c r="J128" i="1"/>
  <c r="J131" i="1"/>
  <c r="J134" i="1"/>
  <c r="J115" i="1"/>
  <c r="J121" i="1"/>
  <c r="J107" i="1"/>
  <c r="J132" i="1"/>
  <c r="J113" i="1"/>
  <c r="J124" i="1"/>
  <c r="J106" i="1"/>
  <c r="J122" i="1"/>
  <c r="J109" i="1"/>
  <c r="J133" i="1"/>
  <c r="J125" i="1"/>
  <c r="J135" i="1"/>
  <c r="J136" i="1"/>
  <c r="J137" i="1"/>
  <c r="J130" i="1"/>
  <c r="J138" i="1"/>
  <c r="J160" i="1"/>
  <c r="J146" i="1"/>
  <c r="J149" i="1"/>
  <c r="J152" i="1"/>
  <c r="J165" i="1"/>
  <c r="J145" i="1"/>
  <c r="J151" i="1"/>
  <c r="J157" i="1"/>
  <c r="J154" i="1"/>
  <c r="J153" i="1"/>
  <c r="J150" i="1"/>
  <c r="J144" i="1"/>
  <c r="J139" i="1"/>
  <c r="J141" i="1"/>
  <c r="J161" i="1"/>
  <c r="J162" i="1"/>
  <c r="J164" i="1"/>
  <c r="J167" i="1"/>
  <c r="J147" i="1"/>
  <c r="J155" i="1"/>
  <c r="J143" i="1"/>
  <c r="J166" i="1"/>
  <c r="J148" i="1"/>
  <c r="J156" i="1"/>
  <c r="J140" i="1"/>
  <c r="J158" i="1"/>
  <c r="J142" i="1"/>
  <c r="J169" i="1"/>
  <c r="J159" i="1"/>
  <c r="J168" i="1"/>
  <c r="J170" i="1"/>
  <c r="J171" i="1"/>
  <c r="J163" i="1"/>
  <c r="J172" i="1"/>
  <c r="J196" i="1"/>
  <c r="J180" i="1"/>
  <c r="J181" i="1"/>
  <c r="J186" i="1"/>
  <c r="J199" i="1"/>
  <c r="J179" i="1"/>
  <c r="J185" i="1"/>
  <c r="J192" i="1"/>
  <c r="J188" i="1"/>
  <c r="J187" i="1"/>
  <c r="J183" i="1"/>
  <c r="J178" i="1"/>
  <c r="J174" i="1"/>
  <c r="J175" i="1"/>
  <c r="J195" i="1"/>
  <c r="J194" i="1"/>
  <c r="J198" i="1"/>
  <c r="J202" i="1"/>
  <c r="J182" i="1"/>
  <c r="J189" i="1"/>
  <c r="J177" i="1"/>
  <c r="J200" i="1"/>
  <c r="J184" i="1"/>
  <c r="J191" i="1"/>
  <c r="J173" i="1"/>
  <c r="J190" i="1"/>
  <c r="J176" i="1"/>
  <c r="J201" i="1"/>
  <c r="J193" i="1"/>
  <c r="J203" i="1"/>
  <c r="J204" i="1"/>
  <c r="J205" i="1"/>
  <c r="J197" i="1"/>
  <c r="J206" i="1"/>
  <c r="J229" i="1"/>
  <c r="J214" i="1"/>
  <c r="J215" i="1"/>
  <c r="J220" i="1"/>
  <c r="J233" i="1"/>
  <c r="J212" i="1"/>
  <c r="J219" i="1"/>
  <c r="J226" i="1"/>
  <c r="J223" i="1"/>
  <c r="J221" i="1"/>
  <c r="J218" i="1"/>
  <c r="J213" i="1"/>
  <c r="J209" i="1"/>
  <c r="J210" i="1"/>
  <c r="J228" i="1"/>
  <c r="J230" i="1"/>
  <c r="J232" i="1"/>
  <c r="J236" i="1"/>
  <c r="J217" i="1"/>
  <c r="J222" i="1"/>
  <c r="J211" i="1"/>
  <c r="J235" i="1"/>
  <c r="J216" i="1"/>
  <c r="J225" i="1"/>
  <c r="J207" i="1"/>
  <c r="J224" i="1"/>
  <c r="J208" i="1"/>
  <c r="J234" i="1"/>
  <c r="J227" i="1"/>
  <c r="J237" i="1"/>
  <c r="J238" i="1"/>
  <c r="J239" i="1"/>
  <c r="J231" i="1"/>
  <c r="J241" i="1"/>
  <c r="J263" i="1"/>
  <c r="J247" i="1"/>
  <c r="J249" i="1"/>
  <c r="J254" i="1"/>
  <c r="J267" i="1"/>
  <c r="J246" i="1"/>
  <c r="J253" i="1"/>
  <c r="J260" i="1"/>
  <c r="J257" i="1"/>
  <c r="J255" i="1"/>
  <c r="J252" i="1"/>
  <c r="J248" i="1"/>
  <c r="J244" i="1"/>
  <c r="J243" i="1"/>
  <c r="J261" i="1"/>
  <c r="J262" i="1"/>
  <c r="J264" i="1"/>
  <c r="J270" i="1"/>
  <c r="J250" i="1"/>
  <c r="J256" i="1"/>
  <c r="J245" i="1"/>
  <c r="J269" i="1"/>
  <c r="J251" i="1"/>
  <c r="J258" i="1"/>
  <c r="J240" i="1"/>
  <c r="J259" i="1"/>
  <c r="J242" i="1"/>
  <c r="J268" i="1"/>
  <c r="J265" i="1"/>
  <c r="J271" i="1"/>
  <c r="J272" i="1"/>
  <c r="J273" i="1"/>
  <c r="J266" i="1"/>
  <c r="J274" i="1"/>
  <c r="J297" i="1"/>
  <c r="J280" i="1"/>
  <c r="J283" i="1"/>
  <c r="J288" i="1"/>
  <c r="J300" i="1"/>
  <c r="J281" i="1"/>
  <c r="J286" i="1"/>
  <c r="J294" i="1"/>
  <c r="J289" i="1"/>
  <c r="J290" i="1"/>
  <c r="J285" i="1"/>
  <c r="J282" i="1"/>
  <c r="J278" i="1"/>
  <c r="J279" i="1"/>
  <c r="J296" i="1"/>
  <c r="J295" i="1"/>
  <c r="J298" i="1"/>
  <c r="J303" i="1"/>
  <c r="J284" i="1"/>
  <c r="J291" i="1"/>
  <c r="J277" i="1"/>
  <c r="J304" i="1"/>
  <c r="J287" i="1"/>
  <c r="J292" i="1"/>
  <c r="J276" i="1"/>
  <c r="J293" i="1"/>
  <c r="J275" i="1"/>
  <c r="J302" i="1"/>
  <c r="J299" i="1"/>
  <c r="J305" i="1"/>
  <c r="J306" i="1"/>
  <c r="J307" i="1"/>
  <c r="J301" i="1"/>
  <c r="J309" i="1"/>
  <c r="J330" i="1"/>
  <c r="J314" i="1"/>
  <c r="J319" i="1"/>
  <c r="J322" i="1"/>
  <c r="J334" i="1"/>
  <c r="J316" i="1"/>
  <c r="J321" i="1"/>
  <c r="J328" i="1"/>
  <c r="J325" i="1"/>
  <c r="J324" i="1"/>
  <c r="J318" i="1"/>
  <c r="J315" i="1"/>
  <c r="J312" i="1"/>
  <c r="J313" i="1"/>
  <c r="J331" i="1"/>
  <c r="J329" i="1"/>
  <c r="J332" i="1"/>
  <c r="J337" i="1"/>
  <c r="J317" i="1"/>
  <c r="J323" i="1"/>
  <c r="J311" i="1"/>
  <c r="J338" i="1"/>
  <c r="J320" i="1"/>
  <c r="J326" i="1"/>
  <c r="J310" i="1"/>
  <c r="J327" i="1"/>
  <c r="J308" i="1"/>
  <c r="J336" i="1"/>
  <c r="J333" i="1"/>
  <c r="J339" i="1"/>
  <c r="J340" i="1"/>
  <c r="J341" i="1"/>
  <c r="J335" i="1"/>
  <c r="J343" i="1"/>
  <c r="J367" i="1"/>
  <c r="J347" i="1"/>
  <c r="J350" i="1"/>
  <c r="J357" i="1"/>
  <c r="J368" i="1"/>
  <c r="J349" i="1"/>
  <c r="J355" i="1"/>
  <c r="J363" i="1"/>
  <c r="J360" i="1"/>
  <c r="J358" i="1"/>
  <c r="J352" i="1"/>
  <c r="J351" i="1"/>
  <c r="J348" i="1"/>
  <c r="J346" i="1"/>
  <c r="J364" i="1"/>
  <c r="J365" i="1"/>
  <c r="J369" i="1"/>
  <c r="J373" i="1"/>
  <c r="J354" i="1"/>
  <c r="J359" i="1"/>
  <c r="J345" i="1"/>
  <c r="J372" i="1"/>
  <c r="J353" i="1"/>
  <c r="J376" i="1"/>
  <c r="J361" i="1"/>
  <c r="J344" i="1"/>
  <c r="J362" i="1"/>
  <c r="J342" i="1"/>
  <c r="J371" i="1"/>
  <c r="J366" i="1"/>
  <c r="J374" i="1"/>
  <c r="J375" i="1"/>
  <c r="J356" i="1"/>
  <c r="J377" i="1"/>
  <c r="J370" i="1"/>
  <c r="J379" i="1"/>
  <c r="J403" i="1"/>
  <c r="J384" i="1"/>
  <c r="J387" i="1"/>
  <c r="J393" i="1"/>
  <c r="J404" i="1"/>
  <c r="J388" i="1"/>
  <c r="J391" i="1"/>
  <c r="J399" i="1"/>
  <c r="J395" i="1"/>
  <c r="J394" i="1"/>
  <c r="J389" i="1"/>
  <c r="J385" i="1"/>
  <c r="J382" i="1"/>
  <c r="J383" i="1"/>
  <c r="J400" i="1"/>
  <c r="J401" i="1"/>
  <c r="J405" i="1"/>
  <c r="J407" i="1"/>
  <c r="J386" i="1"/>
  <c r="J396" i="1"/>
  <c r="J381" i="1"/>
  <c r="J406" i="1"/>
  <c r="J390" i="1"/>
  <c r="J413" i="1"/>
  <c r="J397" i="1"/>
  <c r="J380" i="1"/>
  <c r="J398" i="1"/>
  <c r="J378" i="1"/>
  <c r="J409" i="1"/>
  <c r="J402" i="1"/>
  <c r="J410" i="1"/>
  <c r="J411" i="1"/>
  <c r="J392" i="1"/>
  <c r="J412" i="1"/>
  <c r="J408" i="1"/>
  <c r="J415" i="1"/>
  <c r="J439" i="1"/>
  <c r="J420" i="1"/>
  <c r="J424" i="1"/>
  <c r="J429" i="1"/>
  <c r="J437" i="1"/>
  <c r="J422" i="1"/>
  <c r="J427" i="1"/>
  <c r="J435" i="1"/>
  <c r="J432" i="1"/>
  <c r="J430" i="1"/>
  <c r="J426" i="1"/>
  <c r="J425" i="1"/>
  <c r="J419" i="1"/>
  <c r="J418" i="1"/>
  <c r="J440" i="1"/>
  <c r="J438" i="1"/>
  <c r="J441" i="1"/>
  <c r="J445" i="1"/>
  <c r="J423" i="1"/>
  <c r="J431" i="1"/>
  <c r="J417" i="1"/>
  <c r="J443" i="1"/>
  <c r="J428" i="1"/>
  <c r="J449" i="1"/>
  <c r="J434" i="1"/>
  <c r="J414" i="1"/>
  <c r="J433" i="1"/>
  <c r="J416" i="1"/>
  <c r="J442" i="1"/>
  <c r="J436" i="1"/>
  <c r="J447" i="1"/>
  <c r="J446" i="1"/>
  <c r="J421" i="1"/>
  <c r="J448" i="1"/>
  <c r="J444" i="1"/>
  <c r="J458" i="1"/>
  <c r="J475" i="1"/>
  <c r="J455" i="1"/>
  <c r="J459" i="1"/>
  <c r="J465" i="1"/>
  <c r="J473" i="1"/>
  <c r="J463" i="1"/>
  <c r="J464" i="1"/>
  <c r="J471" i="1"/>
  <c r="J469" i="1"/>
  <c r="J467" i="1"/>
  <c r="J460" i="1"/>
  <c r="J462" i="1"/>
  <c r="J453" i="1"/>
  <c r="J454" i="1"/>
  <c r="J476" i="1"/>
  <c r="J477" i="1"/>
  <c r="J478" i="1"/>
  <c r="J482" i="1"/>
  <c r="J457" i="1"/>
  <c r="J468" i="1"/>
  <c r="J452" i="1"/>
  <c r="J480" i="1"/>
  <c r="J466" i="1"/>
  <c r="J461" i="1"/>
  <c r="J470" i="1"/>
  <c r="J450" i="1"/>
  <c r="J472" i="1"/>
  <c r="J451" i="1"/>
  <c r="J479" i="1"/>
  <c r="J474" i="1"/>
  <c r="J483" i="1"/>
  <c r="J484" i="1"/>
  <c r="J456" i="1"/>
  <c r="J485" i="1"/>
  <c r="J481" i="1"/>
  <c r="J494" i="1"/>
  <c r="J511" i="1"/>
  <c r="J491" i="1"/>
  <c r="J496" i="1"/>
  <c r="J501" i="1"/>
  <c r="J510" i="1"/>
  <c r="J500" i="1"/>
  <c r="J499" i="1"/>
  <c r="J507" i="1"/>
  <c r="J505" i="1"/>
  <c r="J504" i="1"/>
  <c r="J497" i="1"/>
  <c r="J498" i="1"/>
  <c r="J490" i="1"/>
  <c r="J487" i="1"/>
  <c r="J513" i="1"/>
  <c r="J512" i="1"/>
  <c r="J514" i="1"/>
  <c r="J516" i="1"/>
  <c r="J493" i="1"/>
  <c r="J503" i="1"/>
  <c r="J489" i="1"/>
  <c r="J518" i="1"/>
  <c r="J502" i="1"/>
  <c r="J495" i="1"/>
  <c r="J508" i="1"/>
  <c r="J486" i="1"/>
  <c r="J506" i="1"/>
  <c r="J488" i="1"/>
  <c r="J515" i="1"/>
  <c r="J509" i="1"/>
  <c r="J520" i="1"/>
  <c r="J519" i="1"/>
  <c r="J492" i="1"/>
  <c r="J521" i="1"/>
  <c r="J517" i="1"/>
  <c r="J530" i="1"/>
  <c r="J548" i="1"/>
  <c r="J527" i="1"/>
  <c r="J533" i="1"/>
  <c r="J537" i="1"/>
  <c r="J547" i="1"/>
  <c r="J536" i="1"/>
  <c r="J535" i="1"/>
  <c r="J543" i="1"/>
  <c r="J541" i="1"/>
  <c r="J539" i="1"/>
  <c r="J532" i="1"/>
  <c r="J534" i="1"/>
  <c r="J525" i="1"/>
  <c r="J523" i="1"/>
  <c r="J549" i="1"/>
  <c r="J546" i="1"/>
  <c r="J550" i="1"/>
  <c r="J553" i="1"/>
  <c r="J528" i="1"/>
  <c r="J538" i="1"/>
  <c r="J526" i="1"/>
  <c r="J551" i="1"/>
  <c r="J540" i="1"/>
  <c r="J531" i="1"/>
  <c r="J544" i="1"/>
  <c r="J522" i="1"/>
  <c r="J542" i="1"/>
  <c r="J524" i="1"/>
  <c r="J552" i="1"/>
  <c r="J545" i="1"/>
  <c r="J556" i="1"/>
  <c r="J555" i="1"/>
  <c r="J529" i="1"/>
  <c r="J557" i="1"/>
  <c r="J554" i="1"/>
  <c r="J565" i="1"/>
  <c r="J584" i="1"/>
  <c r="J563" i="1"/>
  <c r="J567" i="1"/>
  <c r="J572" i="1"/>
  <c r="J582" i="1"/>
  <c r="J573" i="1"/>
  <c r="J571" i="1"/>
  <c r="J579" i="1"/>
  <c r="J577" i="1"/>
  <c r="J574" i="1"/>
  <c r="J569" i="1"/>
  <c r="J570" i="1"/>
  <c r="J559" i="1"/>
  <c r="J561" i="1"/>
  <c r="J585" i="1"/>
  <c r="J583" i="1"/>
  <c r="J586" i="1"/>
  <c r="J590" i="1"/>
  <c r="J564" i="1"/>
  <c r="J575" i="1"/>
  <c r="J562" i="1"/>
  <c r="J587" i="1"/>
  <c r="J576" i="1"/>
  <c r="J566" i="1"/>
  <c r="J580" i="1"/>
  <c r="J558" i="1"/>
  <c r="J578" i="1"/>
  <c r="J560" i="1"/>
  <c r="J588" i="1"/>
  <c r="J581" i="1"/>
  <c r="J592" i="1"/>
  <c r="J591" i="1"/>
  <c r="J568" i="1"/>
  <c r="J593" i="1"/>
  <c r="J589" i="1"/>
  <c r="J601" i="1"/>
  <c r="J618" i="1"/>
  <c r="J599" i="1"/>
  <c r="J603" i="1"/>
  <c r="J608" i="1"/>
  <c r="J619" i="1"/>
  <c r="J609" i="1"/>
  <c r="J604" i="1"/>
  <c r="J615" i="1"/>
  <c r="J612" i="1"/>
  <c r="J610" i="1"/>
  <c r="J606" i="1"/>
  <c r="J607" i="1"/>
  <c r="J598" i="1"/>
  <c r="J595" i="1"/>
  <c r="J621" i="1"/>
  <c r="J620" i="1"/>
  <c r="J622" i="1"/>
  <c r="J625" i="1"/>
  <c r="J600" i="1"/>
  <c r="J611" i="1"/>
  <c r="J597" i="1"/>
  <c r="J626" i="1"/>
  <c r="J613" i="1"/>
  <c r="J602" i="1"/>
  <c r="J616" i="1"/>
  <c r="J594" i="1"/>
  <c r="J614" i="1"/>
  <c r="J596" i="1"/>
  <c r="J624" i="1"/>
  <c r="J617" i="1"/>
  <c r="J627" i="1"/>
  <c r="J628" i="1"/>
  <c r="J605" i="1"/>
  <c r="J629" i="1"/>
  <c r="J623" i="1"/>
  <c r="J637" i="1"/>
  <c r="J656" i="1"/>
  <c r="J634" i="1"/>
  <c r="J639" i="1"/>
  <c r="J646" i="1"/>
  <c r="J655" i="1"/>
  <c r="J644" i="1"/>
  <c r="J640" i="1"/>
  <c r="J651" i="1"/>
  <c r="J649" i="1"/>
  <c r="J645" i="1"/>
  <c r="J643" i="1"/>
  <c r="J642" i="1"/>
  <c r="J635" i="1"/>
  <c r="J632" i="1"/>
  <c r="J657" i="1"/>
  <c r="J654" i="1"/>
  <c r="J658" i="1"/>
  <c r="J662" i="1"/>
  <c r="J636" i="1"/>
  <c r="J647" i="1"/>
  <c r="J631" i="1"/>
  <c r="J661" i="1"/>
  <c r="J648" i="1"/>
  <c r="J638" i="1"/>
  <c r="J652" i="1"/>
  <c r="J630" i="1"/>
  <c r="J650" i="1"/>
  <c r="J633" i="1"/>
  <c r="J659" i="1"/>
  <c r="J653" i="1"/>
  <c r="J665" i="1"/>
  <c r="J663" i="1"/>
  <c r="J641" i="1"/>
  <c r="J664" i="1"/>
  <c r="J660" i="1"/>
  <c r="J673" i="1"/>
  <c r="J690" i="1"/>
  <c r="J670" i="1"/>
  <c r="J675" i="1"/>
  <c r="J681" i="1"/>
  <c r="J692" i="1"/>
  <c r="J680" i="1"/>
  <c r="J676" i="1"/>
  <c r="J687" i="1"/>
  <c r="J682" i="1"/>
  <c r="J678" i="1"/>
  <c r="J679" i="1"/>
  <c r="J672" i="1"/>
  <c r="J669" i="1"/>
  <c r="J693" i="1"/>
  <c r="J691" i="1"/>
  <c r="J694" i="1"/>
  <c r="J698" i="1"/>
  <c r="J671" i="1"/>
  <c r="J683" i="1"/>
  <c r="J667" i="1"/>
  <c r="J696" i="1"/>
  <c r="J685" i="1"/>
  <c r="J674" i="1"/>
  <c r="J688" i="1"/>
  <c r="J666" i="1"/>
  <c r="J686" i="1"/>
  <c r="J668" i="1"/>
  <c r="J697" i="1"/>
  <c r="J689" i="1"/>
  <c r="J699" i="1"/>
  <c r="J677" i="1"/>
  <c r="J684" i="1"/>
  <c r="J700" i="1"/>
  <c r="J701" i="1"/>
  <c r="J695" i="1"/>
  <c r="J710" i="1"/>
  <c r="J726" i="1"/>
  <c r="J707" i="1"/>
  <c r="J712" i="1"/>
  <c r="J717" i="1"/>
  <c r="J728" i="1"/>
  <c r="J719" i="1"/>
  <c r="J711" i="1"/>
  <c r="J723" i="1"/>
  <c r="J716" i="1"/>
  <c r="J715" i="1"/>
  <c r="J714" i="1"/>
  <c r="J708" i="1"/>
  <c r="J704" i="1"/>
  <c r="J729" i="1"/>
  <c r="J727" i="1"/>
  <c r="J730" i="1"/>
  <c r="J735" i="1"/>
  <c r="J706" i="1"/>
  <c r="J718" i="1"/>
  <c r="J703" i="1"/>
  <c r="J734" i="1"/>
  <c r="J721" i="1"/>
  <c r="J709" i="1"/>
  <c r="J724" i="1"/>
  <c r="J702" i="1"/>
  <c r="J722" i="1"/>
  <c r="J705" i="1"/>
  <c r="J731" i="1"/>
  <c r="J725" i="1"/>
  <c r="J733" i="1"/>
  <c r="J713" i="1"/>
  <c r="J720" i="1"/>
  <c r="J736" i="1"/>
  <c r="J737" i="1"/>
  <c r="J73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77E000-7776-4032-9DD2-F0A14705AABA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C33DF4-EE4D-449A-AFD9-FCB4A92E0C80}" name="WorksheetConnection_CrimesOnWomenData (2).xlsx!Table1" type="102" refreshedVersion="6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rimesOnWomenData2.xlsxTable11"/>
        </x15:connection>
      </ext>
    </extLst>
  </connection>
</connections>
</file>

<file path=xl/sharedStrings.xml><?xml version="1.0" encoding="utf-8"?>
<sst xmlns="http://schemas.openxmlformats.org/spreadsheetml/2006/main" count="786" uniqueCount="90">
  <si>
    <t>State</t>
  </si>
  <si>
    <t>Year</t>
  </si>
  <si>
    <t>Rape</t>
  </si>
  <si>
    <t>K&amp;A</t>
  </si>
  <si>
    <t>DD</t>
  </si>
  <si>
    <t>AoW</t>
  </si>
  <si>
    <t>AoM</t>
  </si>
  <si>
    <t>DV</t>
  </si>
  <si>
    <t>WT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</si>
  <si>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</si>
  <si>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</si>
  <si>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</si>
  <si>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</si>
  <si>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</si>
  <si>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</si>
  <si>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</si>
  <si>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</si>
  <si>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</si>
  <si>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</si>
  <si>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</si>
  <si>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</si>
  <si>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</si>
  <si>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</si>
  <si>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</si>
  <si>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</si>
  <si>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</si>
  <si>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</si>
  <si>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</si>
  <si>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</si>
  <si>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</si>
  <si>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</si>
  <si>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</si>
  <si>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</si>
  <si>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</si>
  <si>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</si>
  <si>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</si>
  <si>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</si>
  <si>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</si>
  <si>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</si>
  <si>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</si>
  <si>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</si>
  <si>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LAKSHADWEEP</t>
  </si>
  <si>
    <t>PUDUCHERRY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</si>
  <si>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</si>
  <si>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</si>
  <si>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</si>
  <si>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</si>
  <si>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</si>
  <si>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</si>
  <si>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</si>
  <si>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</si>
  <si>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</si>
  <si>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</si>
  <si>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</si>
  <si>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</si>
  <si>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</si>
  <si>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</si>
  <si>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</si>
  <si>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</si>
  <si>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</si>
  <si>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</si>
  <si>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</si>
  <si>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</si>
  <si>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</si>
  <si>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</si>
  <si>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</si>
  <si>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</si>
  <si>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</si>
  <si>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</si>
  <si>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</si>
  <si>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</si>
  <si>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</si>
  <si>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</si>
  <si>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</si>
  <si>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</si>
  <si>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</si>
  <si>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</si>
  <si>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</si>
  <si>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</si>
  <si>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Sum of Rape</t>
  </si>
  <si>
    <t>Row Labels</t>
  </si>
  <si>
    <t>Grand Total</t>
  </si>
  <si>
    <t>Sum of K&amp;A</t>
  </si>
  <si>
    <t>Sum of DD</t>
  </si>
  <si>
    <t>Sum of AoW</t>
  </si>
  <si>
    <t>Sum of AoM</t>
  </si>
  <si>
    <t>Sum of DV</t>
  </si>
  <si>
    <t>Sum of WT</t>
  </si>
  <si>
    <t>TOTAL CRIME</t>
  </si>
  <si>
    <t>Sum of TOTAL CRIME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</si>
</sst>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[CrimesOnWomenData (2).xlsx]Sheet5!PivotTable5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Dowry Deaths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Sheet5!$A$4:$A$25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Sheet5!$B$4:$B$25</c:f>
              <c:numCache>
                <c:formatCode>General</c:formatCode>
                <c:ptCount val="21"/>
                <c:pt idx="0">
                  <c:v>6738</c:v>
                </c:pt>
                <c:pt idx="1">
                  <c:v>6687</c:v>
                </c:pt>
                <c:pt idx="2">
                  <c:v>6078</c:v>
                </c:pt>
                <c:pt idx="3">
                  <c:v>6900</c:v>
                </c:pt>
                <c:pt idx="4">
                  <c:v>6673</c:v>
                </c:pt>
                <c:pt idx="5">
                  <c:v>7481</c:v>
                </c:pt>
                <c:pt idx="6">
                  <c:v>7955</c:v>
                </c:pt>
                <c:pt idx="7">
                  <c:v>8043</c:v>
                </c:pt>
                <c:pt idx="8">
                  <c:v>8242</c:v>
                </c:pt>
                <c:pt idx="9">
                  <c:v>8248</c:v>
                </c:pt>
                <c:pt idx="10">
                  <c:v>8618</c:v>
                </c:pt>
                <c:pt idx="11">
                  <c:v>8233</c:v>
                </c:pt>
                <c:pt idx="12">
                  <c:v>8083</c:v>
                </c:pt>
                <c:pt idx="13">
                  <c:v>10050</c:v>
                </c:pt>
                <c:pt idx="14">
                  <c:v>7634</c:v>
                </c:pt>
                <c:pt idx="15">
                  <c:v>7621</c:v>
                </c:pt>
                <c:pt idx="16">
                  <c:v>7466</c:v>
                </c:pt>
                <c:pt idx="17">
                  <c:v>7166</c:v>
                </c:pt>
                <c:pt idx="18">
                  <c:v>7115</c:v>
                </c:pt>
                <c:pt idx="19">
                  <c:v>6966</c:v>
                </c:pt>
                <c:pt idx="20">
                  <c:v>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2-4657-9608-80466DD1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728863"/>
        <c:axId val="207720271"/>
      </c:lineChart>
      <c:catAx>
        <c:axId val="100728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20271"/>
        <c:crosses val="autoZero"/>
        <c:auto val="1"/>
        <c:lblAlgn val="ctr"/>
        <c:lblOffset val="100"/>
        <c:noMultiLvlLbl val="0"/>
      </c:catAx>
      <c:valAx>
        <c:axId val="2077202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Dowry Deaths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2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[CrimesOnWomenData (2).xlsx]Sheet2!PivotTable2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RAPE CASES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415033214197117"/>
          <c:y val="0.2021632653061225"/>
          <c:w val="0.83982690028390561"/>
          <c:h val="0.62288381809416682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Sheet2!$A$4:$A$25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Sheet2!$B$4:$B$25</c:f>
              <c:numCache>
                <c:formatCode>General</c:formatCode>
                <c:ptCount val="21"/>
                <c:pt idx="0">
                  <c:v>15694</c:v>
                </c:pt>
                <c:pt idx="1">
                  <c:v>15970</c:v>
                </c:pt>
                <c:pt idx="2">
                  <c:v>15357</c:v>
                </c:pt>
                <c:pt idx="3">
                  <c:v>17682</c:v>
                </c:pt>
                <c:pt idx="4">
                  <c:v>17701</c:v>
                </c:pt>
                <c:pt idx="5">
                  <c:v>18725</c:v>
                </c:pt>
                <c:pt idx="6">
                  <c:v>20139</c:v>
                </c:pt>
                <c:pt idx="7">
                  <c:v>21001</c:v>
                </c:pt>
                <c:pt idx="8">
                  <c:v>20928</c:v>
                </c:pt>
                <c:pt idx="9">
                  <c:v>21665</c:v>
                </c:pt>
                <c:pt idx="10">
                  <c:v>24206</c:v>
                </c:pt>
                <c:pt idx="11">
                  <c:v>24923</c:v>
                </c:pt>
                <c:pt idx="12">
                  <c:v>33707</c:v>
                </c:pt>
                <c:pt idx="13">
                  <c:v>36735</c:v>
                </c:pt>
                <c:pt idx="14">
                  <c:v>34651</c:v>
                </c:pt>
                <c:pt idx="15">
                  <c:v>38947</c:v>
                </c:pt>
                <c:pt idx="16">
                  <c:v>32559</c:v>
                </c:pt>
                <c:pt idx="17">
                  <c:v>33356</c:v>
                </c:pt>
                <c:pt idx="18">
                  <c:v>32033</c:v>
                </c:pt>
                <c:pt idx="19">
                  <c:v>28046</c:v>
                </c:pt>
                <c:pt idx="20">
                  <c:v>31677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8-47A9-BCAF-1CD302414E8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7972463"/>
        <c:axId val="2131054895"/>
      </c:lineChart>
      <c:catAx>
        <c:axId val="212797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054895"/>
        <c:crosses val="autoZero"/>
        <c:auto val="1"/>
        <c:lblAlgn val="ctr"/>
        <c:lblOffset val="100"/>
        <c:noMultiLvlLbl val="0"/>
      </c:catAx>
      <c:valAx>
        <c:axId val="2131054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RAPE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7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[CrimesOnWomenData (2).xlsx]Sheet3!PivotTable3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Kidnapping and Abduction cases YEAR-WISE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6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Sheet3!$A$4:$A$25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Sheet3!$B$4:$B$25</c:f>
              <c:numCache>
                <c:formatCode>General</c:formatCode>
                <c:ptCount val="21"/>
                <c:pt idx="0">
                  <c:v>13681</c:v>
                </c:pt>
                <c:pt idx="1">
                  <c:v>13613</c:v>
                </c:pt>
                <c:pt idx="2">
                  <c:v>12499</c:v>
                </c:pt>
                <c:pt idx="3">
                  <c:v>14697</c:v>
                </c:pt>
                <c:pt idx="4">
                  <c:v>14644</c:v>
                </c:pt>
                <c:pt idx="5">
                  <c:v>16348</c:v>
                </c:pt>
                <c:pt idx="6">
                  <c:v>19249</c:v>
                </c:pt>
                <c:pt idx="7">
                  <c:v>21803</c:v>
                </c:pt>
                <c:pt idx="8">
                  <c:v>24086</c:v>
                </c:pt>
                <c:pt idx="9">
                  <c:v>28055</c:v>
                </c:pt>
                <c:pt idx="10">
                  <c:v>35565</c:v>
                </c:pt>
                <c:pt idx="11">
                  <c:v>38262</c:v>
                </c:pt>
                <c:pt idx="12">
                  <c:v>51881</c:v>
                </c:pt>
                <c:pt idx="13">
                  <c:v>57311</c:v>
                </c:pt>
                <c:pt idx="14">
                  <c:v>59277</c:v>
                </c:pt>
                <c:pt idx="15">
                  <c:v>64519</c:v>
                </c:pt>
                <c:pt idx="16">
                  <c:v>66333</c:v>
                </c:pt>
                <c:pt idx="17">
                  <c:v>72751</c:v>
                </c:pt>
                <c:pt idx="18">
                  <c:v>72780</c:v>
                </c:pt>
                <c:pt idx="19">
                  <c:v>62300</c:v>
                </c:pt>
                <c:pt idx="20">
                  <c:v>75369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9C-4F0B-B747-9C7A8A2FC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50703"/>
        <c:axId val="110588783"/>
      </c:lineChart>
      <c:catAx>
        <c:axId val="9955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8783"/>
        <c:crosses val="autoZero"/>
        <c:auto val="1"/>
        <c:lblAlgn val="ctr"/>
        <c:lblOffset val="100"/>
        <c:noMultiLvlLbl val="0"/>
      </c:catAx>
      <c:valAx>
        <c:axId val="11058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K&amp;A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(2).xlsx]Sheet2!PivotTable2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RAPE CASES YEAR-WISE</a:t>
            </a:r>
          </a:p>
        </c:rich>
      </c:tx>
      <c:layout>
        <c:manualLayout>
          <c:xMode val="edge"/>
          <c:yMode val="edge"/>
          <c:x val="0.23284747478314088"/>
          <c:y val="3.4782608695652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4129526593333652"/>
          <c:y val="0.1624603446308342"/>
          <c:w val="0.83982690028390561"/>
          <c:h val="0.62288381809416682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Sheet2!$A$4:$A$25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Sheet2!$B$4:$B$25</c:f>
              <c:numCache>
                <c:formatCode>General</c:formatCode>
                <c:ptCount val="21"/>
                <c:pt idx="0">
                  <c:v>15694</c:v>
                </c:pt>
                <c:pt idx="1">
                  <c:v>15970</c:v>
                </c:pt>
                <c:pt idx="2">
                  <c:v>15357</c:v>
                </c:pt>
                <c:pt idx="3">
                  <c:v>17682</c:v>
                </c:pt>
                <c:pt idx="4">
                  <c:v>17701</c:v>
                </c:pt>
                <c:pt idx="5">
                  <c:v>18725</c:v>
                </c:pt>
                <c:pt idx="6">
                  <c:v>20139</c:v>
                </c:pt>
                <c:pt idx="7">
                  <c:v>21001</c:v>
                </c:pt>
                <c:pt idx="8">
                  <c:v>20928</c:v>
                </c:pt>
                <c:pt idx="9">
                  <c:v>21665</c:v>
                </c:pt>
                <c:pt idx="10">
                  <c:v>24206</c:v>
                </c:pt>
                <c:pt idx="11">
                  <c:v>24923</c:v>
                </c:pt>
                <c:pt idx="12">
                  <c:v>33707</c:v>
                </c:pt>
                <c:pt idx="13">
                  <c:v>36735</c:v>
                </c:pt>
                <c:pt idx="14">
                  <c:v>34651</c:v>
                </c:pt>
                <c:pt idx="15">
                  <c:v>38947</c:v>
                </c:pt>
                <c:pt idx="16">
                  <c:v>32559</c:v>
                </c:pt>
                <c:pt idx="17">
                  <c:v>33356</c:v>
                </c:pt>
                <c:pt idx="18">
                  <c:v>32033</c:v>
                </c:pt>
                <c:pt idx="19">
                  <c:v>28046</c:v>
                </c:pt>
                <c:pt idx="20">
                  <c:v>31677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07-4A9E-88C7-BF67E0BF4BF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27972463"/>
        <c:axId val="2131054895"/>
      </c:lineChart>
      <c:catAx>
        <c:axId val="2127972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054895"/>
        <c:crosses val="autoZero"/>
        <c:auto val="1"/>
        <c:lblAlgn val="ctr"/>
        <c:lblOffset val="100"/>
        <c:noMultiLvlLbl val="0"/>
      </c:catAx>
      <c:valAx>
        <c:axId val="21310548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RAPE CASES</a:t>
                </a:r>
              </a:p>
            </c:rich>
          </c:tx>
          <c:layout>
            <c:manualLayout>
              <c:xMode val="edge"/>
              <c:yMode val="edge"/>
              <c:x val="0"/>
              <c:y val="0.22385665134966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72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Total Kidnapping and Abduction cases YEAR-WISE </a:t>
            </a:r>
          </a:p>
        </c:rich>
      </c:tx>
      <c:layout>
        <c:manualLayout>
          <c:xMode val="edge"/>
          <c:yMode val="edge"/>
          <c:x val="0.14038010390453773"/>
          <c:y val="2.67379679144385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1750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2767944204435658"/>
          <c:y val="0.26664217993159017"/>
          <c:w val="0.82310780095786995"/>
          <c:h val="0.51098696714634806"/>
        </c:manualLayout>
      </c:layout>
      <c:line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dk1">
                      <a:tint val="885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dk1">
                      <a:tint val="885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dk1">
                      <a:tint val="885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Sheet3!$A$4:$A$25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Sheet3!$B$4:$B$25</c:f>
              <c:numCache>
                <c:formatCode>General</c:formatCode>
                <c:ptCount val="21"/>
                <c:pt idx="0">
                  <c:v>13681</c:v>
                </c:pt>
                <c:pt idx="1">
                  <c:v>13613</c:v>
                </c:pt>
                <c:pt idx="2">
                  <c:v>12499</c:v>
                </c:pt>
                <c:pt idx="3">
                  <c:v>14697</c:v>
                </c:pt>
                <c:pt idx="4">
                  <c:v>14644</c:v>
                </c:pt>
                <c:pt idx="5">
                  <c:v>16348</c:v>
                </c:pt>
                <c:pt idx="6">
                  <c:v>19249</c:v>
                </c:pt>
                <c:pt idx="7">
                  <c:v>21803</c:v>
                </c:pt>
                <c:pt idx="8">
                  <c:v>24086</c:v>
                </c:pt>
                <c:pt idx="9">
                  <c:v>28055</c:v>
                </c:pt>
                <c:pt idx="10">
                  <c:v>35565</c:v>
                </c:pt>
                <c:pt idx="11">
                  <c:v>38262</c:v>
                </c:pt>
                <c:pt idx="12">
                  <c:v>51881</c:v>
                </c:pt>
                <c:pt idx="13">
                  <c:v>57311</c:v>
                </c:pt>
                <c:pt idx="14">
                  <c:v>59277</c:v>
                </c:pt>
                <c:pt idx="15">
                  <c:v>64519</c:v>
                </c:pt>
                <c:pt idx="16">
                  <c:v>66333</c:v>
                </c:pt>
                <c:pt idx="17">
                  <c:v>72751</c:v>
                </c:pt>
                <c:pt idx="18">
                  <c:v>72780</c:v>
                </c:pt>
                <c:pt idx="19">
                  <c:v>62300</c:v>
                </c:pt>
                <c:pt idx="20">
                  <c:v>75369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DD-4648-AEFD-AA9342F74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50703"/>
        <c:axId val="110588783"/>
      </c:lineChart>
      <c:catAx>
        <c:axId val="99550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8783"/>
        <c:crosses val="autoZero"/>
        <c:auto val="1"/>
        <c:lblAlgn val="ctr"/>
        <c:lblOffset val="100"/>
        <c:noMultiLvlLbl val="0"/>
      </c:catAx>
      <c:valAx>
        <c:axId val="110588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K&amp;A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50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(2).xlsx]Sheet4!PivotTable4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Dowry death Cases Year-Wise</a:t>
            </a:r>
          </a:p>
        </c:rich>
      </c:tx>
      <c:layout>
        <c:manualLayout>
          <c:xMode val="edge"/>
          <c:yMode val="edge"/>
          <c:x val="0.16919322784332469"/>
          <c:y val="3.55029585798816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Sheet4!$A$4:$A$25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Sheet4!$B$4:$B$25</c:f>
              <c:numCache>
                <c:formatCode>General</c:formatCode>
                <c:ptCount val="21"/>
                <c:pt idx="0">
                  <c:v>6738</c:v>
                </c:pt>
                <c:pt idx="1">
                  <c:v>6687</c:v>
                </c:pt>
                <c:pt idx="2">
                  <c:v>6078</c:v>
                </c:pt>
                <c:pt idx="3">
                  <c:v>6900</c:v>
                </c:pt>
                <c:pt idx="4">
                  <c:v>6673</c:v>
                </c:pt>
                <c:pt idx="5">
                  <c:v>7481</c:v>
                </c:pt>
                <c:pt idx="6">
                  <c:v>7955</c:v>
                </c:pt>
                <c:pt idx="7">
                  <c:v>8043</c:v>
                </c:pt>
                <c:pt idx="8">
                  <c:v>8242</c:v>
                </c:pt>
                <c:pt idx="9">
                  <c:v>8248</c:v>
                </c:pt>
                <c:pt idx="10">
                  <c:v>8618</c:v>
                </c:pt>
                <c:pt idx="11">
                  <c:v>8233</c:v>
                </c:pt>
                <c:pt idx="12">
                  <c:v>8083</c:v>
                </c:pt>
                <c:pt idx="13">
                  <c:v>10050</c:v>
                </c:pt>
                <c:pt idx="14">
                  <c:v>7634</c:v>
                </c:pt>
                <c:pt idx="15">
                  <c:v>7621</c:v>
                </c:pt>
                <c:pt idx="16">
                  <c:v>7466</c:v>
                </c:pt>
                <c:pt idx="17">
                  <c:v>7166</c:v>
                </c:pt>
                <c:pt idx="18">
                  <c:v>7115</c:v>
                </c:pt>
                <c:pt idx="19">
                  <c:v>6966</c:v>
                </c:pt>
                <c:pt idx="20">
                  <c:v>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1-44AA-9CF8-F2F6257A5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58959"/>
        <c:axId val="207970703"/>
      </c:lineChart>
      <c:catAx>
        <c:axId val="9655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70703"/>
        <c:crosses val="autoZero"/>
        <c:auto val="1"/>
        <c:lblAlgn val="ctr"/>
        <c:lblOffset val="100"/>
        <c:noMultiLvlLbl val="0"/>
      </c:catAx>
      <c:valAx>
        <c:axId val="207970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Dowry death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1749234470691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(2).xlsx]Sheet6!PivotTable1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Assault on Women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1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9605227458155713"/>
          <c:y val="0.2401367016622922"/>
          <c:w val="0.6965853018372703"/>
          <c:h val="0.50415609507144943"/>
        </c:manualLayout>
      </c:layout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Sheet6!$A$4:$A$25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Sheet6!$B$4:$B$25</c:f>
              <c:numCache>
                <c:formatCode>General</c:formatCode>
                <c:ptCount val="21"/>
                <c:pt idx="0">
                  <c:v>33622</c:v>
                </c:pt>
                <c:pt idx="1">
                  <c:v>33497</c:v>
                </c:pt>
                <c:pt idx="2">
                  <c:v>32450</c:v>
                </c:pt>
                <c:pt idx="3">
                  <c:v>33966</c:v>
                </c:pt>
                <c:pt idx="4">
                  <c:v>33413</c:v>
                </c:pt>
                <c:pt idx="5">
                  <c:v>35899</c:v>
                </c:pt>
                <c:pt idx="6">
                  <c:v>37866</c:v>
                </c:pt>
                <c:pt idx="7">
                  <c:v>39802</c:v>
                </c:pt>
                <c:pt idx="8">
                  <c:v>38159</c:v>
                </c:pt>
                <c:pt idx="9">
                  <c:v>40012</c:v>
                </c:pt>
                <c:pt idx="10">
                  <c:v>0</c:v>
                </c:pt>
                <c:pt idx="11">
                  <c:v>45344</c:v>
                </c:pt>
                <c:pt idx="12">
                  <c:v>70739</c:v>
                </c:pt>
                <c:pt idx="13">
                  <c:v>82235</c:v>
                </c:pt>
                <c:pt idx="14">
                  <c:v>82422</c:v>
                </c:pt>
                <c:pt idx="15">
                  <c:v>84746</c:v>
                </c:pt>
                <c:pt idx="16">
                  <c:v>86001</c:v>
                </c:pt>
                <c:pt idx="17">
                  <c:v>89097</c:v>
                </c:pt>
                <c:pt idx="18">
                  <c:v>88367</c:v>
                </c:pt>
                <c:pt idx="19">
                  <c:v>85392</c:v>
                </c:pt>
                <c:pt idx="20">
                  <c:v>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E-4C05-B8FF-9133F7342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558320"/>
        <c:axId val="1876190832"/>
      </c:lineChart>
      <c:catAx>
        <c:axId val="1871558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6541178060896893"/>
              <c:y val="0.8899095946340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90832"/>
        <c:crosses val="autoZero"/>
        <c:auto val="1"/>
        <c:lblAlgn val="ctr"/>
        <c:lblOffset val="100"/>
        <c:noMultiLvlLbl val="0"/>
      </c:catAx>
      <c:valAx>
        <c:axId val="1876190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AoW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5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(2).xlsx]Sheet7!PivotTable2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</a:t>
            </a:r>
            <a:r>
              <a:rPr lang="en-US" sz="1400" b="1" i="0" u="none" strike="noStrike" baseline="0">
                <a:effectLst/>
              </a:rPr>
              <a:t>Assault on Minors YEAR-WISE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903937007874015"/>
          <c:y val="0.19163884514435695"/>
          <c:w val="0.80596062992125983"/>
          <c:h val="0.58912839020122487"/>
        </c:manualLayout>
      </c:layout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Sheet7!$A$4:$A$25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Sheet7!$B$4:$B$25</c:f>
              <c:numCache>
                <c:formatCode>General</c:formatCode>
                <c:ptCount val="21"/>
                <c:pt idx="0">
                  <c:v>9656</c:v>
                </c:pt>
                <c:pt idx="1">
                  <c:v>10027</c:v>
                </c:pt>
                <c:pt idx="2">
                  <c:v>12220</c:v>
                </c:pt>
                <c:pt idx="3">
                  <c:v>9871</c:v>
                </c:pt>
                <c:pt idx="4">
                  <c:v>9759</c:v>
                </c:pt>
                <c:pt idx="5">
                  <c:v>9822</c:v>
                </c:pt>
                <c:pt idx="6">
                  <c:v>10783</c:v>
                </c:pt>
                <c:pt idx="7">
                  <c:v>12084</c:v>
                </c:pt>
                <c:pt idx="8">
                  <c:v>10891</c:v>
                </c:pt>
                <c:pt idx="9">
                  <c:v>9881</c:v>
                </c:pt>
                <c:pt idx="10">
                  <c:v>8570</c:v>
                </c:pt>
                <c:pt idx="11">
                  <c:v>9173</c:v>
                </c:pt>
                <c:pt idx="12">
                  <c:v>12589</c:v>
                </c:pt>
                <c:pt idx="13">
                  <c:v>21938</c:v>
                </c:pt>
                <c:pt idx="14">
                  <c:v>24041</c:v>
                </c:pt>
                <c:pt idx="15">
                  <c:v>27344</c:v>
                </c:pt>
                <c:pt idx="16">
                  <c:v>7451</c:v>
                </c:pt>
                <c:pt idx="17">
                  <c:v>6992</c:v>
                </c:pt>
                <c:pt idx="18">
                  <c:v>6939</c:v>
                </c:pt>
                <c:pt idx="19">
                  <c:v>7065</c:v>
                </c:pt>
                <c:pt idx="20">
                  <c:v>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33-40A1-BA29-A01C5936E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827088"/>
        <c:axId val="1897979520"/>
      </c:lineChart>
      <c:catAx>
        <c:axId val="188982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79520"/>
        <c:crosses val="autoZero"/>
        <c:auto val="1"/>
        <c:lblAlgn val="ctr"/>
        <c:lblOffset val="100"/>
        <c:noMultiLvlLbl val="0"/>
      </c:catAx>
      <c:valAx>
        <c:axId val="1897979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AOM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2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(2).xlsx]Sheet15!PivotTable4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Total CRIMES STATE-WISE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Kerala</c:v>
                </c:pt>
                <c:pt idx="4">
                  <c:v>Madhya Pradesh</c:v>
                </c:pt>
                <c:pt idx="5">
                  <c:v>Maharashtra</c:v>
                </c:pt>
                <c:pt idx="6">
                  <c:v>Odisha</c:v>
                </c:pt>
                <c:pt idx="7">
                  <c:v>Rajasthan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391123</c:v>
                </c:pt>
                <c:pt idx="1">
                  <c:v>291980</c:v>
                </c:pt>
                <c:pt idx="2">
                  <c:v>189886</c:v>
                </c:pt>
                <c:pt idx="3">
                  <c:v>202986</c:v>
                </c:pt>
                <c:pt idx="4">
                  <c:v>413157</c:v>
                </c:pt>
                <c:pt idx="5">
                  <c:v>365632</c:v>
                </c:pt>
                <c:pt idx="6">
                  <c:v>194774</c:v>
                </c:pt>
                <c:pt idx="7">
                  <c:v>379264</c:v>
                </c:pt>
                <c:pt idx="8">
                  <c:v>529734</c:v>
                </c:pt>
                <c:pt idx="9">
                  <c:v>409242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0-4C6B-AD25-03FA36F0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731999"/>
        <c:axId val="553587039"/>
      </c:barChart>
      <c:catAx>
        <c:axId val="122473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STATE-WISE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87039"/>
        <c:crosses val="autoZero"/>
        <c:auto val="1"/>
        <c:lblAlgn val="ctr"/>
        <c:lblOffset val="100"/>
        <c:noMultiLvlLbl val="0"/>
      </c:catAx>
      <c:valAx>
        <c:axId val="55358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CRIME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3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(2).xlsx]Sheet17!PivotTable4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CRIME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Sheet17!$A$4:$A$25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Sheet17!$B$4:$B$25</c:f>
              <c:numCache>
                <c:formatCode>General</c:formatCode>
                <c:ptCount val="21"/>
                <c:pt idx="0">
                  <c:v>128537</c:v>
                </c:pt>
                <c:pt idx="1">
                  <c:v>128972</c:v>
                </c:pt>
                <c:pt idx="2">
                  <c:v>128142</c:v>
                </c:pt>
                <c:pt idx="3">
                  <c:v>140072</c:v>
                </c:pt>
                <c:pt idx="4">
                  <c:v>139333</c:v>
                </c:pt>
                <c:pt idx="5">
                  <c:v>149742</c:v>
                </c:pt>
                <c:pt idx="6">
                  <c:v>170196</c:v>
                </c:pt>
                <c:pt idx="7">
                  <c:v>182757</c:v>
                </c:pt>
                <c:pt idx="8">
                  <c:v>190617</c:v>
                </c:pt>
                <c:pt idx="9">
                  <c:v>200534</c:v>
                </c:pt>
                <c:pt idx="10">
                  <c:v>178529</c:v>
                </c:pt>
                <c:pt idx="11">
                  <c:v>235025</c:v>
                </c:pt>
                <c:pt idx="12">
                  <c:v>298444</c:v>
                </c:pt>
                <c:pt idx="13">
                  <c:v>333216</c:v>
                </c:pt>
                <c:pt idx="14">
                  <c:v>323852</c:v>
                </c:pt>
                <c:pt idx="15">
                  <c:v>335769</c:v>
                </c:pt>
                <c:pt idx="16">
                  <c:v>305897</c:v>
                </c:pt>
                <c:pt idx="17">
                  <c:v>314093</c:v>
                </c:pt>
                <c:pt idx="18">
                  <c:v>333717</c:v>
                </c:pt>
                <c:pt idx="19">
                  <c:v>302186</c:v>
                </c:pt>
                <c:pt idx="20">
                  <c:v>348092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E-4A69-87C2-61A1FB6CC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898959"/>
        <c:axId val="1904274191"/>
      </c:lineChart>
      <c:catAx>
        <c:axId val="168589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74191"/>
        <c:crosses val="autoZero"/>
        <c:auto val="1"/>
        <c:lblAlgn val="ctr"/>
        <c:lblOffset val="100"/>
        <c:noMultiLvlLbl val="0"/>
      </c:catAx>
      <c:valAx>
        <c:axId val="19042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CRIMES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89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Dowry death Cases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Sheet4!$A$4:$A$25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Sheet4!$B$4:$B$25</c:f>
              <c:numCache>
                <c:formatCode>General</c:formatCode>
                <c:ptCount val="21"/>
                <c:pt idx="0">
                  <c:v>6738</c:v>
                </c:pt>
                <c:pt idx="1">
                  <c:v>6687</c:v>
                </c:pt>
                <c:pt idx="2">
                  <c:v>6078</c:v>
                </c:pt>
                <c:pt idx="3">
                  <c:v>6900</c:v>
                </c:pt>
                <c:pt idx="4">
                  <c:v>6673</c:v>
                </c:pt>
                <c:pt idx="5">
                  <c:v>7481</c:v>
                </c:pt>
                <c:pt idx="6">
                  <c:v>7955</c:v>
                </c:pt>
                <c:pt idx="7">
                  <c:v>8043</c:v>
                </c:pt>
                <c:pt idx="8">
                  <c:v>8242</c:v>
                </c:pt>
                <c:pt idx="9">
                  <c:v>8248</c:v>
                </c:pt>
                <c:pt idx="10">
                  <c:v>8618</c:v>
                </c:pt>
                <c:pt idx="11">
                  <c:v>8233</c:v>
                </c:pt>
                <c:pt idx="12">
                  <c:v>8083</c:v>
                </c:pt>
                <c:pt idx="13">
                  <c:v>10050</c:v>
                </c:pt>
                <c:pt idx="14">
                  <c:v>7634</c:v>
                </c:pt>
                <c:pt idx="15">
                  <c:v>7621</c:v>
                </c:pt>
                <c:pt idx="16">
                  <c:v>7466</c:v>
                </c:pt>
                <c:pt idx="17">
                  <c:v>7166</c:v>
                </c:pt>
                <c:pt idx="18">
                  <c:v>7115</c:v>
                </c:pt>
                <c:pt idx="19">
                  <c:v>6966</c:v>
                </c:pt>
                <c:pt idx="20">
                  <c:v>6753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B-4EAD-A125-0757EA7FC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558959"/>
        <c:axId val="207970703"/>
      </c:lineChart>
      <c:catAx>
        <c:axId val="9655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70703"/>
        <c:crosses val="autoZero"/>
        <c:auto val="1"/>
        <c:lblAlgn val="ctr"/>
        <c:lblOffset val="100"/>
        <c:noMultiLvlLbl val="0"/>
      </c:catAx>
      <c:valAx>
        <c:axId val="20797070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Dowry death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1749234470691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5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(2).xlsx]Sheet6!PivotTable1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Assault on Women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9605227458155713"/>
          <c:y val="0.2401367016622922"/>
          <c:w val="0.6965853018372703"/>
          <c:h val="0.50415609507144943"/>
        </c:manualLayout>
      </c:layout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Sheet6!$A$4:$A$25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Sheet6!$B$4:$B$25</c:f>
              <c:numCache>
                <c:formatCode>General</c:formatCode>
                <c:ptCount val="21"/>
                <c:pt idx="0">
                  <c:v>33622</c:v>
                </c:pt>
                <c:pt idx="1">
                  <c:v>33497</c:v>
                </c:pt>
                <c:pt idx="2">
                  <c:v>32450</c:v>
                </c:pt>
                <c:pt idx="3">
                  <c:v>33966</c:v>
                </c:pt>
                <c:pt idx="4">
                  <c:v>33413</c:v>
                </c:pt>
                <c:pt idx="5">
                  <c:v>35899</c:v>
                </c:pt>
                <c:pt idx="6">
                  <c:v>37866</c:v>
                </c:pt>
                <c:pt idx="7">
                  <c:v>39802</c:v>
                </c:pt>
                <c:pt idx="8">
                  <c:v>38159</c:v>
                </c:pt>
                <c:pt idx="9">
                  <c:v>40012</c:v>
                </c:pt>
                <c:pt idx="10">
                  <c:v>0</c:v>
                </c:pt>
                <c:pt idx="11">
                  <c:v>45344</c:v>
                </c:pt>
                <c:pt idx="12">
                  <c:v>70739</c:v>
                </c:pt>
                <c:pt idx="13">
                  <c:v>82235</c:v>
                </c:pt>
                <c:pt idx="14">
                  <c:v>82422</c:v>
                </c:pt>
                <c:pt idx="15">
                  <c:v>84746</c:v>
                </c:pt>
                <c:pt idx="16">
                  <c:v>86001</c:v>
                </c:pt>
                <c:pt idx="17">
                  <c:v>89097</c:v>
                </c:pt>
                <c:pt idx="18">
                  <c:v>88367</c:v>
                </c:pt>
                <c:pt idx="19">
                  <c:v>85392</c:v>
                </c:pt>
                <c:pt idx="20">
                  <c:v>89200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E-45D9-8CDE-216CC198F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558320"/>
        <c:axId val="1876190832"/>
      </c:lineChart>
      <c:catAx>
        <c:axId val="1871558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layout>
            <c:manualLayout>
              <c:xMode val="edge"/>
              <c:yMode val="edge"/>
              <c:x val="0.46541178060896893"/>
              <c:y val="0.8899095946340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190832"/>
        <c:crosses val="autoZero"/>
        <c:auto val="1"/>
        <c:lblAlgn val="ctr"/>
        <c:lblOffset val="100"/>
        <c:noMultiLvlLbl val="0"/>
      </c:catAx>
      <c:valAx>
        <c:axId val="18761908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AoW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55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(2).xlsx]Sheet7!PivotTable2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</a:t>
            </a:r>
            <a:r>
              <a:rPr lang="en-US" sz="1400" b="1" i="0" u="none" strike="noStrike" baseline="0">
                <a:effectLst/>
              </a:rPr>
              <a:t>Assault on Minors YEAR-WISE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Sheet7!$A$4:$A$25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Sheet7!$B$4:$B$25</c:f>
              <c:numCache>
                <c:formatCode>General</c:formatCode>
                <c:ptCount val="21"/>
                <c:pt idx="0">
                  <c:v>9656</c:v>
                </c:pt>
                <c:pt idx="1">
                  <c:v>10027</c:v>
                </c:pt>
                <c:pt idx="2">
                  <c:v>12220</c:v>
                </c:pt>
                <c:pt idx="3">
                  <c:v>9871</c:v>
                </c:pt>
                <c:pt idx="4">
                  <c:v>9759</c:v>
                </c:pt>
                <c:pt idx="5">
                  <c:v>9822</c:v>
                </c:pt>
                <c:pt idx="6">
                  <c:v>10783</c:v>
                </c:pt>
                <c:pt idx="7">
                  <c:v>12084</c:v>
                </c:pt>
                <c:pt idx="8">
                  <c:v>10891</c:v>
                </c:pt>
                <c:pt idx="9">
                  <c:v>9881</c:v>
                </c:pt>
                <c:pt idx="10">
                  <c:v>8570</c:v>
                </c:pt>
                <c:pt idx="11">
                  <c:v>9173</c:v>
                </c:pt>
                <c:pt idx="12">
                  <c:v>12589</c:v>
                </c:pt>
                <c:pt idx="13">
                  <c:v>21938</c:v>
                </c:pt>
                <c:pt idx="14">
                  <c:v>24041</c:v>
                </c:pt>
                <c:pt idx="15">
                  <c:v>27344</c:v>
                </c:pt>
                <c:pt idx="16">
                  <c:v>7451</c:v>
                </c:pt>
                <c:pt idx="17">
                  <c:v>6992</c:v>
                </c:pt>
                <c:pt idx="18">
                  <c:v>6939</c:v>
                </c:pt>
                <c:pt idx="19">
                  <c:v>7065</c:v>
                </c:pt>
                <c:pt idx="20">
                  <c:v>7788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F3-4F50-9EB4-A82F4E6BC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827088"/>
        <c:axId val="1897979520"/>
      </c:lineChart>
      <c:catAx>
        <c:axId val="188982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979520"/>
        <c:crosses val="autoZero"/>
        <c:auto val="1"/>
        <c:lblAlgn val="ctr"/>
        <c:lblOffset val="100"/>
        <c:noMultiLvlLbl val="0"/>
      </c:catAx>
      <c:valAx>
        <c:axId val="1897979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>
                    <a:effectLst/>
                  </a:rPr>
                  <a:t>AOM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2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[CrimesOnWomenData (2).xlsx]Sheet8!PivotTable3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</a:t>
            </a:r>
            <a:r>
              <a:rPr lang="en-US" baseline="0"/>
              <a:t> DV CRIME YEAR-WISE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Sheet8!$A$4:$A$25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Sheet8!$B$4:$B$25</c:f>
              <c:numCache>
                <c:formatCode>General</c:formatCode>
                <c:ptCount val="21"/>
                <c:pt idx="0">
                  <c:v>49032</c:v>
                </c:pt>
                <c:pt idx="1">
                  <c:v>49102</c:v>
                </c:pt>
                <c:pt idx="2">
                  <c:v>49492</c:v>
                </c:pt>
                <c:pt idx="3">
                  <c:v>56867</c:v>
                </c:pt>
                <c:pt idx="4">
                  <c:v>56995</c:v>
                </c:pt>
                <c:pt idx="5">
                  <c:v>61400</c:v>
                </c:pt>
                <c:pt idx="6">
                  <c:v>74143</c:v>
                </c:pt>
                <c:pt idx="7">
                  <c:v>79957</c:v>
                </c:pt>
                <c:pt idx="8">
                  <c:v>88263</c:v>
                </c:pt>
                <c:pt idx="9">
                  <c:v>92637</c:v>
                </c:pt>
                <c:pt idx="10">
                  <c:v>99135</c:v>
                </c:pt>
                <c:pt idx="11">
                  <c:v>106527</c:v>
                </c:pt>
                <c:pt idx="12">
                  <c:v>118866</c:v>
                </c:pt>
                <c:pt idx="13">
                  <c:v>122877</c:v>
                </c:pt>
                <c:pt idx="14">
                  <c:v>113403</c:v>
                </c:pt>
                <c:pt idx="15">
                  <c:v>110378</c:v>
                </c:pt>
                <c:pt idx="16">
                  <c:v>104551</c:v>
                </c:pt>
                <c:pt idx="17">
                  <c:v>103272</c:v>
                </c:pt>
                <c:pt idx="18">
                  <c:v>125298</c:v>
                </c:pt>
                <c:pt idx="19">
                  <c:v>111549</c:v>
                </c:pt>
                <c:pt idx="20">
                  <c:v>136234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F-4712-A7D1-EB0D523C5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858688"/>
        <c:axId val="1876200400"/>
      </c:lineChart>
      <c:catAx>
        <c:axId val="188985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00400"/>
        <c:crosses val="autoZero"/>
        <c:auto val="1"/>
        <c:lblAlgn val="ctr"/>
        <c:lblOffset val="100"/>
        <c:noMultiLvlLbl val="0"/>
      </c:catAx>
      <c:valAx>
        <c:axId val="18762004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DV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85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[CrimesOnWomenData (2).xlsx]Sheet9!PivotTable4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wt CRIME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Sheet9!$B$4:$B$25</c:f>
              <c:numCache>
                <c:formatCode>General</c:formatCode>
                <c:ptCount val="21"/>
                <c:pt idx="0">
                  <c:v>114</c:v>
                </c:pt>
                <c:pt idx="1">
                  <c:v>76</c:v>
                </c:pt>
                <c:pt idx="2">
                  <c:v>46</c:v>
                </c:pt>
                <c:pt idx="3">
                  <c:v>89</c:v>
                </c:pt>
                <c:pt idx="4">
                  <c:v>148</c:v>
                </c:pt>
                <c:pt idx="5">
                  <c:v>67</c:v>
                </c:pt>
                <c:pt idx="6">
                  <c:v>61</c:v>
                </c:pt>
                <c:pt idx="7">
                  <c:v>67</c:v>
                </c:pt>
                <c:pt idx="8">
                  <c:v>48</c:v>
                </c:pt>
                <c:pt idx="9">
                  <c:v>36</c:v>
                </c:pt>
                <c:pt idx="10">
                  <c:v>2435</c:v>
                </c:pt>
                <c:pt idx="11">
                  <c:v>2563</c:v>
                </c:pt>
                <c:pt idx="12">
                  <c:v>2579</c:v>
                </c:pt>
                <c:pt idx="13">
                  <c:v>2070</c:v>
                </c:pt>
                <c:pt idx="14">
                  <c:v>2424</c:v>
                </c:pt>
                <c:pt idx="15">
                  <c:v>2214</c:v>
                </c:pt>
                <c:pt idx="16">
                  <c:v>1536</c:v>
                </c:pt>
                <c:pt idx="17">
                  <c:v>1459</c:v>
                </c:pt>
                <c:pt idx="18">
                  <c:v>1185</c:v>
                </c:pt>
                <c:pt idx="19">
                  <c:v>868</c:v>
                </c:pt>
                <c:pt idx="20">
                  <c:v>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B-40CF-8DA4-55BD2E5D7C09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6776720"/>
        <c:axId val="1876245744"/>
      </c:barChart>
      <c:catAx>
        <c:axId val="1786776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245744"/>
        <c:crosses val="autoZero"/>
        <c:auto val="1"/>
        <c:lblAlgn val="ctr"/>
        <c:lblOffset val="100"/>
        <c:noMultiLvlLbl val="0"/>
      </c:catAx>
      <c:valAx>
        <c:axId val="187624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WT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677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(2).xlsx]Sheet15!PivotTable4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CRIMES STATE-WISE(TOP-10)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Sheet15!$A$4:$A$14</c:f>
              <c:strCache>
                <c:ptCount val="10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Kerala</c:v>
                </c:pt>
                <c:pt idx="4">
                  <c:v>Madhya Pradesh</c:v>
                </c:pt>
                <c:pt idx="5">
                  <c:v>Maharashtra</c:v>
                </c:pt>
                <c:pt idx="6">
                  <c:v>Odisha</c:v>
                </c:pt>
                <c:pt idx="7">
                  <c:v>Rajasthan</c:v>
                </c:pt>
                <c:pt idx="8">
                  <c:v>Uttar Pradesh</c:v>
                </c:pt>
                <c:pt idx="9">
                  <c:v>West Bengal</c:v>
                </c:pt>
              </c:strCache>
            </c:strRef>
          </c:cat>
          <c:val>
            <c:numRef>
              <c:f>Sheet15!$B$4:$B$14</c:f>
              <c:numCache>
                <c:formatCode>General</c:formatCode>
                <c:ptCount val="10"/>
                <c:pt idx="0">
                  <c:v>391123</c:v>
                </c:pt>
                <c:pt idx="1">
                  <c:v>291980</c:v>
                </c:pt>
                <c:pt idx="2">
                  <c:v>189886</c:v>
                </c:pt>
                <c:pt idx="3">
                  <c:v>202986</c:v>
                </c:pt>
                <c:pt idx="4">
                  <c:v>413157</c:v>
                </c:pt>
                <c:pt idx="5">
                  <c:v>365632</c:v>
                </c:pt>
                <c:pt idx="6">
                  <c:v>194774</c:v>
                </c:pt>
                <c:pt idx="7">
                  <c:v>379264</c:v>
                </c:pt>
                <c:pt idx="8">
                  <c:v>529734</c:v>
                </c:pt>
                <c:pt idx="9">
                  <c:v>409242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8C-4A64-8DD6-32F176744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4731999"/>
        <c:axId val="553587039"/>
      </c:barChart>
      <c:catAx>
        <c:axId val="12247319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STATE-WISE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87039"/>
        <c:crosses val="autoZero"/>
        <c:auto val="1"/>
        <c:lblAlgn val="ctr"/>
        <c:lblOffset val="100"/>
        <c:noMultiLvlLbl val="0"/>
      </c:catAx>
      <c:valAx>
        <c:axId val="55358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CRIME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731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[CrimesOnWomenData (2).xlsx]Sheet17!PivotTable4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CRIME YEAR-WISE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dk1">
                <a:tint val="885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Sheet17!$A$4:$A$25</c:f>
              <c:strCache>
                <c:ptCount val="21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</c:strCache>
            </c:strRef>
          </c:cat>
          <c:val>
            <c:numRef>
              <c:f>Sheet17!$B$4:$B$25</c:f>
              <c:numCache>
                <c:formatCode>General</c:formatCode>
                <c:ptCount val="21"/>
                <c:pt idx="0">
                  <c:v>128537</c:v>
                </c:pt>
                <c:pt idx="1">
                  <c:v>128972</c:v>
                </c:pt>
                <c:pt idx="2">
                  <c:v>128142</c:v>
                </c:pt>
                <c:pt idx="3">
                  <c:v>140072</c:v>
                </c:pt>
                <c:pt idx="4">
                  <c:v>139333</c:v>
                </c:pt>
                <c:pt idx="5">
                  <c:v>149742</c:v>
                </c:pt>
                <c:pt idx="6">
                  <c:v>170196</c:v>
                </c:pt>
                <c:pt idx="7">
                  <c:v>182757</c:v>
                </c:pt>
                <c:pt idx="8">
                  <c:v>190617</c:v>
                </c:pt>
                <c:pt idx="9">
                  <c:v>200534</c:v>
                </c:pt>
                <c:pt idx="10">
                  <c:v>178529</c:v>
                </c:pt>
                <c:pt idx="11">
                  <c:v>235025</c:v>
                </c:pt>
                <c:pt idx="12">
                  <c:v>298444</c:v>
                </c:pt>
                <c:pt idx="13">
                  <c:v>333216</c:v>
                </c:pt>
                <c:pt idx="14">
                  <c:v>323852</c:v>
                </c:pt>
                <c:pt idx="15">
                  <c:v>335769</c:v>
                </c:pt>
                <c:pt idx="16">
                  <c:v>305897</c:v>
                </c:pt>
                <c:pt idx="17">
                  <c:v>314093</c:v>
                </c:pt>
                <c:pt idx="18">
                  <c:v>333717</c:v>
                </c:pt>
                <c:pt idx="19">
                  <c:v>302186</c:v>
                </c:pt>
                <c:pt idx="20">
                  <c:v>348092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E-401D-AA84-AC18F2EB9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5898959"/>
        <c:axId val="1904274191"/>
      </c:lineChart>
      <c:catAx>
        <c:axId val="1685898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274191"/>
        <c:crosses val="autoZero"/>
        <c:auto val="1"/>
        <c:lblAlgn val="ctr"/>
        <c:lblOffset val="100"/>
        <c:noMultiLvlLbl val="0"/>
      </c:catAx>
      <c:valAx>
        <c:axId val="19042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CRIMES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89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hart" Target="../charts/chart5.xml"/><Relationship Id="rId7" Type="http://schemas.openxmlformats.org/officeDocument/2006/relationships/image" Target="../media/image2.emf"/><Relationship Id="rId2" Type="http://schemas.openxmlformats.org/officeDocument/2006/relationships/chart" Target="../charts/chart4.xm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11" Type="http://schemas.openxmlformats.org/officeDocument/2006/relationships/chart" Target="../charts/chart10.xml"/><Relationship Id="rId5" Type="http://schemas.openxmlformats.org/officeDocument/2006/relationships/chart" Target="../charts/chart7.xml"/><Relationship Id="rId10" Type="http://schemas.openxmlformats.org/officeDocument/2006/relationships/chart" Target="../charts/chart9.xml"/><Relationship Id="rId4" Type="http://schemas.openxmlformats.org/officeDocument/2006/relationships/chart" Target="../charts/chart6.xml"/><Relationship Id="rId9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82550</xdr:rowOff>
    </xdr:from>
    <xdr:to>
      <xdr:col>12</xdr:col>
      <xdr:colOff>260349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A3D1C-894C-4E3F-BF9F-7B78B9FAD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2</xdr:row>
      <xdr:rowOff>6350</xdr:rowOff>
    </xdr:from>
    <xdr:to>
      <xdr:col>12</xdr:col>
      <xdr:colOff>285750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DBD7D2-164E-43DF-8089-4C6F66B2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2</xdr:row>
      <xdr:rowOff>82550</xdr:rowOff>
    </xdr:from>
    <xdr:to>
      <xdr:col>12</xdr:col>
      <xdr:colOff>222250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89BA7A-8B7E-4AE2-8A76-AB3FE2C1A8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152400</xdr:rowOff>
    </xdr:from>
    <xdr:to>
      <xdr:col>15</xdr:col>
      <xdr:colOff>584200</xdr:colOff>
      <xdr:row>4</xdr:row>
      <xdr:rowOff>152400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C35FDF4-C6F4-4160-BE23-4AF9B97C9C6A}"/>
            </a:ext>
          </a:extLst>
        </xdr:cNvPr>
        <xdr:cNvSpPr txBox="1"/>
      </xdr:nvSpPr>
      <xdr:spPr>
        <a:xfrm>
          <a:off x="2209800" y="336550"/>
          <a:ext cx="7518400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>
              <a:solidFill>
                <a:schemeClr val="tx1"/>
              </a:solidFill>
            </a:rPr>
            <a:t>                 CRIME AGAINST WOMEN</a:t>
          </a:r>
        </a:p>
      </xdr:txBody>
    </xdr:sp>
    <xdr:clientData/>
  </xdr:twoCellAnchor>
  <xdr:twoCellAnchor editAs="oneCell">
    <xdr:from>
      <xdr:col>6</xdr:col>
      <xdr:colOff>82550</xdr:colOff>
      <xdr:row>1</xdr:row>
      <xdr:rowOff>80433</xdr:rowOff>
    </xdr:from>
    <xdr:to>
      <xdr:col>7</xdr:col>
      <xdr:colOff>269875</xdr:colOff>
      <xdr:row>5</xdr:row>
      <xdr:rowOff>23283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973614-F462-43EF-801A-755D50EA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0150" y="266700"/>
          <a:ext cx="796925" cy="687916"/>
        </a:xfrm>
        <a:prstGeom prst="rect">
          <a:avLst/>
        </a:prstGeom>
      </xdr:spPr>
    </xdr:pic>
    <xdr:clientData/>
  </xdr:twoCellAnchor>
  <xdr:twoCellAnchor editAs="oneCell">
    <xdr:from>
      <xdr:col>14</xdr:col>
      <xdr:colOff>605367</xdr:colOff>
      <xdr:row>1</xdr:row>
      <xdr:rowOff>69850</xdr:rowOff>
    </xdr:from>
    <xdr:to>
      <xdr:col>16</xdr:col>
      <xdr:colOff>183092</xdr:colOff>
      <xdr:row>5</xdr:row>
      <xdr:rowOff>12700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41C54E5-06FF-4269-8FA7-1964572EB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9767" y="256117"/>
          <a:ext cx="796925" cy="687916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6</xdr:row>
      <xdr:rowOff>19050</xdr:rowOff>
    </xdr:from>
    <xdr:to>
      <xdr:col>7</xdr:col>
      <xdr:colOff>374650</xdr:colOff>
      <xdr:row>18</xdr:row>
      <xdr:rowOff>19050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178C456-0034-41BA-9BE8-CC8D200C16F1}"/>
            </a:ext>
          </a:extLst>
        </xdr:cNvPr>
        <xdr:cNvSpPr/>
      </xdr:nvSpPr>
      <xdr:spPr>
        <a:xfrm>
          <a:off x="133350" y="1123950"/>
          <a:ext cx="4508500" cy="2209800"/>
        </a:xfrm>
        <a:prstGeom prst="rect">
          <a:avLst/>
        </a:prstGeom>
        <a:solidFill>
          <a:schemeClr val="bg2">
            <a:alpha val="7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101601</xdr:colOff>
      <xdr:row>20</xdr:row>
      <xdr:rowOff>154516</xdr:rowOff>
    </xdr:from>
    <xdr:to>
      <xdr:col>24</xdr:col>
      <xdr:colOff>93134</xdr:colOff>
      <xdr:row>32</xdr:row>
      <xdr:rowOff>110066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2989F35-B05B-42DC-945E-03F421B12C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10584</xdr:colOff>
      <xdr:row>19</xdr:row>
      <xdr:rowOff>6350</xdr:rowOff>
    </xdr:from>
    <xdr:to>
      <xdr:col>14</xdr:col>
      <xdr:colOff>245534</xdr:colOff>
      <xdr:row>30</xdr:row>
      <xdr:rowOff>135467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97EF9F7-3536-45EC-852E-88F4970E8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173567</xdr:colOff>
      <xdr:row>33</xdr:row>
      <xdr:rowOff>175684</xdr:rowOff>
    </xdr:from>
    <xdr:to>
      <xdr:col>6</xdr:col>
      <xdr:colOff>491067</xdr:colOff>
      <xdr:row>45</xdr:row>
      <xdr:rowOff>110067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0AE13BB-A3D5-4946-9428-108E4F5DE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88901</xdr:colOff>
      <xdr:row>18</xdr:row>
      <xdr:rowOff>101600</xdr:rowOff>
    </xdr:from>
    <xdr:to>
      <xdr:col>7</xdr:col>
      <xdr:colOff>88900</xdr:colOff>
      <xdr:row>33</xdr:row>
      <xdr:rowOff>82550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B5629A2A-4F29-4734-AD2A-D107F8B6C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82550</xdr:colOff>
      <xdr:row>33</xdr:row>
      <xdr:rowOff>120650</xdr:rowOff>
    </xdr:from>
    <xdr:to>
      <xdr:col>14</xdr:col>
      <xdr:colOff>355600</xdr:colOff>
      <xdr:row>46</xdr:row>
      <xdr:rowOff>80433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F0F4092-4FD7-47A2-A629-DE121E7C54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313267</xdr:colOff>
      <xdr:row>8</xdr:row>
      <xdr:rowOff>59267</xdr:rowOff>
    </xdr:from>
    <xdr:to>
      <xdr:col>5</xdr:col>
      <xdr:colOff>16933</xdr:colOff>
      <xdr:row>13</xdr:row>
      <xdr:rowOff>143933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05A49B-236A-4790-9800-8B2454C97C64}"/>
            </a:ext>
          </a:extLst>
        </xdr:cNvPr>
        <xdr:cNvSpPr/>
      </xdr:nvSpPr>
      <xdr:spPr>
        <a:xfrm>
          <a:off x="922867" y="1549400"/>
          <a:ext cx="2142066" cy="1016000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372533</xdr:colOff>
      <xdr:row>8</xdr:row>
      <xdr:rowOff>118534</xdr:rowOff>
    </xdr:from>
    <xdr:to>
      <xdr:col>4</xdr:col>
      <xdr:colOff>558800</xdr:colOff>
      <xdr:row>13</xdr:row>
      <xdr:rowOff>84665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794092-2F0D-4A5D-AE47-3D4200A0B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2133" y="1608667"/>
          <a:ext cx="2015067" cy="897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508000</xdr:colOff>
      <xdr:row>8</xdr:row>
      <xdr:rowOff>25401</xdr:rowOff>
    </xdr:from>
    <xdr:to>
      <xdr:col>9</xdr:col>
      <xdr:colOff>465667</xdr:colOff>
      <xdr:row>13</xdr:row>
      <xdr:rowOff>118534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1FE548E-1665-4893-AD95-CE57C1F9DC08}"/>
            </a:ext>
          </a:extLst>
        </xdr:cNvPr>
        <xdr:cNvSpPr/>
      </xdr:nvSpPr>
      <xdr:spPr>
        <a:xfrm>
          <a:off x="3556000" y="1515534"/>
          <a:ext cx="2396067" cy="1024467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25399</xdr:colOff>
      <xdr:row>8</xdr:row>
      <xdr:rowOff>84667</xdr:rowOff>
    </xdr:from>
    <xdr:to>
      <xdr:col>9</xdr:col>
      <xdr:colOff>287866</xdr:colOff>
      <xdr:row>13</xdr:row>
      <xdr:rowOff>25400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1804B49-84F0-4DA1-B189-8877A1B4D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2999" y="1574800"/>
          <a:ext cx="2091267" cy="872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397933</xdr:colOff>
      <xdr:row>8</xdr:row>
      <xdr:rowOff>16934</xdr:rowOff>
    </xdr:from>
    <xdr:to>
      <xdr:col>14</xdr:col>
      <xdr:colOff>601133</xdr:colOff>
      <xdr:row>13</xdr:row>
      <xdr:rowOff>93133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5F429B-79B6-41F6-8364-567F7834C70A}"/>
            </a:ext>
          </a:extLst>
        </xdr:cNvPr>
        <xdr:cNvSpPr/>
      </xdr:nvSpPr>
      <xdr:spPr>
        <a:xfrm>
          <a:off x="6493933" y="1507067"/>
          <a:ext cx="2641600" cy="1007533"/>
        </a:xfrm>
        <a:prstGeom prst="rect">
          <a:avLst/>
        </a:prstGeom>
        <a:solidFill>
          <a:schemeClr val="bg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10</xdr:col>
      <xdr:colOff>533400</xdr:colOff>
      <xdr:row>8</xdr:row>
      <xdr:rowOff>110068</xdr:rowOff>
    </xdr:from>
    <xdr:to>
      <xdr:col>14</xdr:col>
      <xdr:colOff>414867</xdr:colOff>
      <xdr:row>12</xdr:row>
      <xdr:rowOff>118533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872D526-C669-44BF-B3C4-3EC9C9E57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1600201"/>
          <a:ext cx="2413000" cy="753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118533</xdr:colOff>
      <xdr:row>6</xdr:row>
      <xdr:rowOff>93134</xdr:rowOff>
    </xdr:from>
    <xdr:to>
      <xdr:col>24</xdr:col>
      <xdr:colOff>541867</xdr:colOff>
      <xdr:row>20</xdr:row>
      <xdr:rowOff>110067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A1EB3AC0-46A0-4115-87F7-4C5FEBF2C9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491067</xdr:colOff>
      <xdr:row>32</xdr:row>
      <xdr:rowOff>169334</xdr:rowOff>
    </xdr:from>
    <xdr:to>
      <xdr:col>24</xdr:col>
      <xdr:colOff>84667</xdr:colOff>
      <xdr:row>45</xdr:row>
      <xdr:rowOff>152400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8859745-71BA-4C0E-97B6-5A0BD0E0D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434975</xdr:colOff>
      <xdr:row>2</xdr:row>
      <xdr:rowOff>82550</xdr:rowOff>
    </xdr:from>
    <xdr:to>
      <xdr:col>11</xdr:col>
      <xdr:colOff>130175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54143-E01D-4E74-965A-715CB1E97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215900</xdr:colOff>
      <xdr:row>1</xdr:row>
      <xdr:rowOff>50800</xdr:rowOff>
    </xdr:from>
    <xdr:to>
      <xdr:col>10</xdr:col>
      <xdr:colOff>517525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59093-AD7F-496D-B76D-B9606F66D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549275</xdr:colOff>
      <xdr:row>2</xdr:row>
      <xdr:rowOff>0</xdr:rowOff>
    </xdr:from>
    <xdr:to>
      <xdr:col>10</xdr:col>
      <xdr:colOff>244475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621C26-FC6D-4098-9A65-80B5DD690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479425</xdr:colOff>
      <xdr:row>1</xdr:row>
      <xdr:rowOff>50800</xdr:rowOff>
    </xdr:from>
    <xdr:to>
      <xdr:col>11</xdr:col>
      <xdr:colOff>174625</xdr:colOff>
      <xdr:row>16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26118-9939-4E14-88DF-B88AD64A8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1</xdr:row>
      <xdr:rowOff>120650</xdr:rowOff>
    </xdr:from>
    <xdr:to>
      <xdr:col>11</xdr:col>
      <xdr:colOff>600075</xdr:colOff>
      <xdr:row>16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2808D-987A-4C00-BDA0-A024FAE3B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1</xdr:row>
      <xdr:rowOff>139700</xdr:rowOff>
    </xdr:from>
    <xdr:to>
      <xdr:col>11</xdr:col>
      <xdr:colOff>374650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BAA58-0EE1-454D-B627-A42B1FD8D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606424</xdr:colOff>
      <xdr:row>4</xdr:row>
      <xdr:rowOff>107950</xdr:rowOff>
    </xdr:from>
    <xdr:to>
      <xdr:col>12</xdr:col>
      <xdr:colOff>171450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01EFF0-7D2E-4D2F-8E69-131FF7187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04.895389467594" createdVersion="6" refreshedVersion="6" minRefreshableVersion="3" recordCount="736" xr:uid="{00000000-000A-0000-FFFF-FFFF09000000}">
  <cacheSource type="worksheet">
    <worksheetSource name="Table1"/>
  </cacheSource>
  <cacheFields count="10">
    <cacheField name="Column1" numFmtId="0">
      <sharedItems containsSemiMixedTypes="0" containsString="0" containsNumber="1" containsInteger="1" minValue="0" maxValue="735"/>
    </cacheField>
    <cacheField name="State" numFmtId="0">
      <sharedItems count="37">
        <s v="ANDHRA PRADESH"/>
        <s v="ARUNACHAL PRADESH"/>
        <s v="ASSAM"/>
        <s v="BIHAR"/>
        <s v="CHHATTISGARH"/>
        <s v="GOA"/>
        <s v="GUJARAT"/>
        <s v="HARYANA"/>
        <s v="HIMACHAL PRADESH"/>
        <s v="JAMMU &amp; KASHMIR"/>
        <s v="JHARKHAND"/>
        <s v="KARNATAKA"/>
        <s v="KERALA"/>
        <s v="MADHYA PRADESH"/>
        <s v="MAHARASHTRA"/>
        <s v="MANIPUR"/>
        <s v="MEGHALAYA"/>
        <s v="MIZORAM"/>
        <s v="NAGALAND"/>
        <s v="ODISHA"/>
        <s v="PUNJAB"/>
        <s v="RAJASTHAN"/>
        <s v="SIKKIM"/>
        <s v="TAMIL NADU"/>
        <s v="TRIPURA"/>
        <s v="UTTAR PRADESH"/>
        <s v="UTTARAKHAND"/>
        <s v="WEST BENGAL"/>
        <s v="A &amp; N ISLANDS"/>
        <s v="CHANDIGARH"/>
        <s v="D &amp; N HAVELI"/>
        <s v="DAMAN &amp; DIU"/>
        <s v="LAKSHADWEEP"/>
        <s v="PUDUCHERRY"/>
        <s v="Telangana"/>
        <s v="D&amp;N Haveli"/>
        <s v="Delhi UT"/>
      </sharedItems>
    </cacheField>
    <cacheField name="Year" numFmtId="0">
      <sharedItems containsSemiMixedTypes="0" containsString="0" containsNumber="1" containsInteger="1" minValue="2001" maxValue="2021" count="21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</cacheField>
    <cacheField name="Rape" numFmtId="0">
      <sharedItems containsSemiMixedTypes="0" containsString="0" containsNumber="1" containsInteger="1" minValue="0" maxValue="6337"/>
    </cacheField>
    <cacheField name="K&amp;A" numFmtId="0">
      <sharedItems containsSemiMixedTypes="0" containsString="0" containsNumber="1" containsInteger="1" minValue="0" maxValue="15381"/>
    </cacheField>
    <cacheField name="DD" numFmtId="0">
      <sharedItems containsSemiMixedTypes="0" containsString="0" containsNumber="1" containsInteger="1" minValue="0" maxValue="2524"/>
    </cacheField>
    <cacheField name="AoW" numFmtId="0">
      <sharedItems containsSemiMixedTypes="0" containsString="0" containsNumber="1" containsInteger="1" minValue="0" maxValue="14853"/>
    </cacheField>
    <cacheField name="AoM" numFmtId="0">
      <sharedItems containsSemiMixedTypes="0" containsString="0" containsNumber="1" containsInteger="1" minValue="0" maxValue="9422"/>
    </cacheField>
    <cacheField name="DV" numFmtId="0">
      <sharedItems containsSemiMixedTypes="0" containsString="0" containsNumber="1" containsInteger="1" minValue="0" maxValue="23278"/>
    </cacheField>
    <cacheField name="WT" numFmtId="0">
      <sharedItems containsSemiMixedTypes="0" containsString="0" containsNumber="1" containsInteger="1" minValue="0" maxValue="5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14.808304976854" backgroundQuery="1" createdVersion="6" refreshedVersion="6" minRefreshableVersion="3" recordCount="0" supportSubquery="1" supportAdvancedDrill="1" xr:uid="{91EF1827-95B3-4CBE-8EAA-52C25A606DCD}">
  <cacheSource type="external" connectionId="1"/>
  <cacheFields count="2">
    <cacheField name="[Table1].[Year].[Year]" caption="Year" numFmtId="0" hierarchy="2" level="1">
      <sharedItems containsSemiMixedTypes="0" containsString="0" containsNumber="1" containsInteger="1" minValue="2001" maxValue="2021" count="21"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</sharedItems>
      <extLst>
        <ext xmlns:x15="http://schemas.microsoft.com/office/spreadsheetml/2010/11/main" uri="{4F2E5C28-24EA-4eb8-9CBF-B6C8F9C3D259}">
          <x15:cachedUniqueNames>
            <x15:cachedUniqueName index="0" name="[Table1].[Year].&amp;[2001]"/>
            <x15:cachedUniqueName index="1" name="[Table1].[Year].&amp;[2002]"/>
            <x15:cachedUniqueName index="2" name="[Table1].[Year].&amp;[2003]"/>
            <x15:cachedUniqueName index="3" name="[Table1].[Year].&amp;[2004]"/>
            <x15:cachedUniqueName index="4" name="[Table1].[Year].&amp;[2005]"/>
            <x15:cachedUniqueName index="5" name="[Table1].[Year].&amp;[2006]"/>
            <x15:cachedUniqueName index="6" name="[Table1].[Year].&amp;[2007]"/>
            <x15:cachedUniqueName index="7" name="[Table1].[Year].&amp;[2008]"/>
            <x15:cachedUniqueName index="8" name="[Table1].[Year].&amp;[2009]"/>
            <x15:cachedUniqueName index="9" name="[Table1].[Year].&amp;[2010]"/>
            <x15:cachedUniqueName index="10" name="[Table1].[Year].&amp;[2011]"/>
            <x15:cachedUniqueName index="11" name="[Table1].[Year].&amp;[2012]"/>
            <x15:cachedUniqueName index="12" name="[Table1].[Year].&amp;[2013]"/>
            <x15:cachedUniqueName index="13" name="[Table1].[Year].&amp;[2014]"/>
            <x15:cachedUniqueName index="14" name="[Table1].[Year].&amp;[2015]"/>
            <x15:cachedUniqueName index="15" name="[Table1].[Year].&amp;[2016]"/>
            <x15:cachedUniqueName index="16" name="[Table1].[Year].&amp;[2017]"/>
            <x15:cachedUniqueName index="17" name="[Table1].[Year].&amp;[2018]"/>
            <x15:cachedUniqueName index="18" name="[Table1].[Year].&amp;[2019]"/>
            <x15:cachedUniqueName index="19" name="[Table1].[Year].&amp;[2020]"/>
            <x15:cachedUniqueName index="20" name="[Table1].[Year].&amp;[2021]"/>
          </x15:cachedUniqueNames>
        </ext>
      </extLst>
    </cacheField>
    <cacheField name="[Measures].[Sum of TOTAL CRIME]" caption="Sum of TOTAL CRIME" numFmtId="0" hierarchy="13" level="32767"/>
  </cacheFields>
  <cacheHierarchies count="14">
    <cacheHierarchy uniqueName="[Table1].[Column1]" caption="Column1" attribute="1" defaultMemberUniqueName="[Table1].[Column1].[All]" allUniqueName="[Table1].[Column1].[All]" dimensionUniqueName="[Table1]" displayFolder="" count="0" memberValueDatatype="2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Rape]" caption="Rape" attribute="1" defaultMemberUniqueName="[Table1].[Rape].[All]" allUniqueName="[Table1].[Rape].[All]" dimensionUniqueName="[Table1]" displayFolder="" count="0" memberValueDatatype="20" unbalanced="0"/>
    <cacheHierarchy uniqueName="[Table1].[K&amp;A]" caption="K&amp;A" attribute="1" defaultMemberUniqueName="[Table1].[K&amp;A].[All]" allUniqueName="[Table1].[K&amp;A].[All]" dimensionUniqueName="[Table1]" displayFolder="" count="0" memberValueDatatype="20" unbalanced="0"/>
    <cacheHierarchy uniqueName="[Table1].[DD]" caption="DD" attribute="1" defaultMemberUniqueName="[Table1].[DD].[All]" allUniqueName="[Table1].[DD].[All]" dimensionUniqueName="[Table1]" displayFolder="" count="0" memberValueDatatype="20" unbalanced="0"/>
    <cacheHierarchy uniqueName="[Table1].[AoW]" caption="AoW" attribute="1" defaultMemberUniqueName="[Table1].[AoW].[All]" allUniqueName="[Table1].[AoW].[All]" dimensionUniqueName="[Table1]" displayFolder="" count="0" memberValueDatatype="20" unbalanced="0"/>
    <cacheHierarchy uniqueName="[Table1].[AoM]" caption="AoM" attribute="1" defaultMemberUniqueName="[Table1].[AoM].[All]" allUniqueName="[Table1].[AoM].[All]" dimensionUniqueName="[Table1]" displayFolder="" count="0" memberValueDatatype="20" unbalanced="0"/>
    <cacheHierarchy uniqueName="[Table1].[DV]" caption="DV" attribute="1" defaultMemberUniqueName="[Table1].[DV].[All]" allUniqueName="[Table1].[DV].[All]" dimensionUniqueName="[Table1]" displayFolder="" count="0" memberValueDatatype="20" unbalanced="0"/>
    <cacheHierarchy uniqueName="[Table1].[WT]" caption="WT" attribute="1" defaultMemberUniqueName="[Table1].[WT].[All]" allUniqueName="[Table1].[WT].[All]" dimensionUniqueName="[Table1]" displayFolder="" count="0" memberValueDatatype="20" unbalanced="0"/>
    <cacheHierarchy uniqueName="[Table1].[TOTAL CRIME]" caption="TOTAL CRIME" attribute="1" defaultMemberUniqueName="[Table1].[TOTAL CRIME].[All]" allUniqueName="[Table1].[TOTAL CRIME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CRIME]" caption="Sum of TOTAL CRIM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014.814330787034" backgroundQuery="1" createdVersion="6" refreshedVersion="6" minRefreshableVersion="3" recordCount="0" supportSubquery="1" supportAdvancedDrill="1" xr:uid="{8D0959AF-0CC2-4B15-89E9-858A6E8865DB}">
  <cacheSource type="external" connectionId="1"/>
  <cacheFields count="2">
    <cacheField name="[Table1].[State].[State]" caption="State" numFmtId="0" hierarchy="1" level="1">
      <sharedItems count="10">
        <s v="Andhra Pradesh"/>
        <s v="Assam"/>
        <s v="Bihar"/>
        <s v="Kerala"/>
        <s v="Madhya Pradesh"/>
        <s v="Maharashtra"/>
        <s v="Odisha"/>
        <s v="Rajasthan"/>
        <s v="Uttar Pradesh"/>
        <s v="West Bengal"/>
      </sharedItems>
    </cacheField>
    <cacheField name="[Measures].[Sum of TOTAL CRIME]" caption="Sum of TOTAL CRIME" numFmtId="0" hierarchy="13" level="32767"/>
  </cacheFields>
  <cacheHierarchies count="14">
    <cacheHierarchy uniqueName="[Table1].[Column1]" caption="Column1" attribute="1" defaultMemberUniqueName="[Table1].[Column1].[All]" allUniqueName="[Table1].[Column1].[All]" dimensionUniqueName="[Table1]" displayFolder="" count="0" memberValueDatatype="20" unbalanced="0"/>
    <cacheHierarchy uniqueName="[Table1].[State]" caption="State" attribute="1" defaultMemberUniqueName="[Table1].[State].[All]" allUniqueName="[Table1].[Stat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Rape]" caption="Rape" attribute="1" defaultMemberUniqueName="[Table1].[Rape].[All]" allUniqueName="[Table1].[Rape].[All]" dimensionUniqueName="[Table1]" displayFolder="" count="0" memberValueDatatype="20" unbalanced="0"/>
    <cacheHierarchy uniqueName="[Table1].[K&amp;A]" caption="K&amp;A" attribute="1" defaultMemberUniqueName="[Table1].[K&amp;A].[All]" allUniqueName="[Table1].[K&amp;A].[All]" dimensionUniqueName="[Table1]" displayFolder="" count="0" memberValueDatatype="20" unbalanced="0"/>
    <cacheHierarchy uniqueName="[Table1].[DD]" caption="DD" attribute="1" defaultMemberUniqueName="[Table1].[DD].[All]" allUniqueName="[Table1].[DD].[All]" dimensionUniqueName="[Table1]" displayFolder="" count="0" memberValueDatatype="20" unbalanced="0"/>
    <cacheHierarchy uniqueName="[Table1].[AoW]" caption="AoW" attribute="1" defaultMemberUniqueName="[Table1].[AoW].[All]" allUniqueName="[Table1].[AoW].[All]" dimensionUniqueName="[Table1]" displayFolder="" count="0" memberValueDatatype="20" unbalanced="0"/>
    <cacheHierarchy uniqueName="[Table1].[AoM]" caption="AoM" attribute="1" defaultMemberUniqueName="[Table1].[AoM].[All]" allUniqueName="[Table1].[AoM].[All]" dimensionUniqueName="[Table1]" displayFolder="" count="0" memberValueDatatype="20" unbalanced="0"/>
    <cacheHierarchy uniqueName="[Table1].[DV]" caption="DV" attribute="1" defaultMemberUniqueName="[Table1].[DV].[All]" allUniqueName="[Table1].[DV].[All]" dimensionUniqueName="[Table1]" displayFolder="" count="0" memberValueDatatype="20" unbalanced="0"/>
    <cacheHierarchy uniqueName="[Table1].[WT]" caption="WT" attribute="1" defaultMemberUniqueName="[Table1].[WT].[All]" allUniqueName="[Table1].[WT].[All]" dimensionUniqueName="[Table1]" displayFolder="" count="0" memberValueDatatype="20" unbalanced="0"/>
    <cacheHierarchy uniqueName="[Table1].[TOTAL CRIME]" caption="TOTAL CRIME" attribute="1" defaultMemberUniqueName="[Table1].[TOTAL CRIME].[All]" allUniqueName="[Table1].[TOTAL CRIME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TOTAL CRIME]" caption="Sum of TOTAL CRIM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6">
  <r>
    <n v="0"/>
    <x v="0"/>
    <x v="0"/>
    <n v="871"/>
    <n v="765"/>
    <n v="420"/>
    <n v="3544"/>
    <n v="2271"/>
    <n v="5791"/>
    <n v="7"/>
  </r>
  <r>
    <n v="1"/>
    <x v="1"/>
    <x v="0"/>
    <n v="33"/>
    <n v="55"/>
    <n v="0"/>
    <n v="78"/>
    <n v="3"/>
    <n v="11"/>
    <n v="0"/>
  </r>
  <r>
    <n v="2"/>
    <x v="2"/>
    <x v="0"/>
    <n v="817"/>
    <n v="1070"/>
    <n v="59"/>
    <n v="850"/>
    <n v="4"/>
    <n v="1248"/>
    <n v="0"/>
  </r>
  <r>
    <n v="3"/>
    <x v="3"/>
    <x v="0"/>
    <n v="888"/>
    <n v="518"/>
    <n v="859"/>
    <n v="562"/>
    <n v="21"/>
    <n v="1558"/>
    <n v="83"/>
  </r>
  <r>
    <n v="4"/>
    <x v="4"/>
    <x v="0"/>
    <n v="959"/>
    <n v="171"/>
    <n v="70"/>
    <n v="1763"/>
    <n v="161"/>
    <n v="840"/>
    <n v="0"/>
  </r>
  <r>
    <n v="5"/>
    <x v="5"/>
    <x v="0"/>
    <n v="12"/>
    <n v="6"/>
    <n v="2"/>
    <n v="17"/>
    <n v="7"/>
    <n v="11"/>
    <n v="0"/>
  </r>
  <r>
    <n v="6"/>
    <x v="6"/>
    <x v="0"/>
    <n v="286"/>
    <n v="857"/>
    <n v="67"/>
    <n v="756"/>
    <n v="111"/>
    <n v="3667"/>
    <n v="0"/>
  </r>
  <r>
    <n v="7"/>
    <x v="7"/>
    <x v="0"/>
    <n v="398"/>
    <n v="297"/>
    <n v="285"/>
    <n v="478"/>
    <n v="401"/>
    <n v="1513"/>
    <n v="0"/>
  </r>
  <r>
    <n v="8"/>
    <x v="8"/>
    <x v="0"/>
    <n v="124"/>
    <n v="105"/>
    <n v="10"/>
    <n v="310"/>
    <n v="14"/>
    <n v="317"/>
    <n v="0"/>
  </r>
  <r>
    <n v="9"/>
    <x v="9"/>
    <x v="0"/>
    <n v="169"/>
    <n v="504"/>
    <n v="13"/>
    <n v="622"/>
    <n v="288"/>
    <n v="50"/>
    <n v="0"/>
  </r>
  <r>
    <n v="10"/>
    <x v="10"/>
    <x v="0"/>
    <n v="567"/>
    <n v="279"/>
    <n v="217"/>
    <n v="297"/>
    <n v="5"/>
    <n v="484"/>
    <n v="2"/>
  </r>
  <r>
    <n v="11"/>
    <x v="11"/>
    <x v="0"/>
    <n v="293"/>
    <n v="271"/>
    <n v="220"/>
    <n v="1665"/>
    <n v="81"/>
    <n v="1755"/>
    <n v="0"/>
  </r>
  <r>
    <n v="12"/>
    <x v="12"/>
    <x v="0"/>
    <n v="562"/>
    <n v="97"/>
    <n v="27"/>
    <n v="1942"/>
    <n v="81"/>
    <n v="2561"/>
    <n v="0"/>
  </r>
  <r>
    <n v="13"/>
    <x v="13"/>
    <x v="0"/>
    <n v="2851"/>
    <n v="668"/>
    <n v="609"/>
    <n v="7063"/>
    <n v="751"/>
    <n v="2562"/>
    <n v="0"/>
  </r>
  <r>
    <n v="14"/>
    <x v="14"/>
    <x v="0"/>
    <n v="1302"/>
    <n v="611"/>
    <n v="308"/>
    <n v="2823"/>
    <n v="1120"/>
    <n v="6090"/>
    <n v="1"/>
  </r>
  <r>
    <n v="15"/>
    <x v="15"/>
    <x v="0"/>
    <n v="20"/>
    <n v="62"/>
    <n v="0"/>
    <n v="21"/>
    <n v="0"/>
    <n v="5"/>
    <n v="0"/>
  </r>
  <r>
    <n v="16"/>
    <x v="16"/>
    <x v="0"/>
    <n v="26"/>
    <n v="11"/>
    <n v="0"/>
    <n v="25"/>
    <n v="0"/>
    <n v="4"/>
    <n v="0"/>
  </r>
  <r>
    <n v="17"/>
    <x v="17"/>
    <x v="0"/>
    <n v="52"/>
    <n v="1"/>
    <n v="0"/>
    <n v="52"/>
    <n v="0"/>
    <n v="16"/>
    <n v="3"/>
  </r>
  <r>
    <n v="18"/>
    <x v="18"/>
    <x v="0"/>
    <n v="17"/>
    <n v="6"/>
    <n v="0"/>
    <n v="6"/>
    <n v="0"/>
    <n v="0"/>
    <n v="0"/>
  </r>
  <r>
    <n v="19"/>
    <x v="19"/>
    <x v="0"/>
    <n v="790"/>
    <n v="434"/>
    <n v="294"/>
    <n v="1655"/>
    <n v="458"/>
    <n v="1266"/>
    <n v="0"/>
  </r>
  <r>
    <n v="20"/>
    <x v="20"/>
    <x v="0"/>
    <n v="298"/>
    <n v="324"/>
    <n v="159"/>
    <n v="372"/>
    <n v="47"/>
    <n v="1128"/>
    <n v="0"/>
  </r>
  <r>
    <n v="21"/>
    <x v="21"/>
    <x v="0"/>
    <n v="1049"/>
    <n v="2165"/>
    <n v="376"/>
    <n v="2878"/>
    <n v="56"/>
    <n v="5532"/>
    <n v="1"/>
  </r>
  <r>
    <n v="22"/>
    <x v="22"/>
    <x v="0"/>
    <n v="8"/>
    <n v="2"/>
    <n v="0"/>
    <n v="0"/>
    <n v="14"/>
    <n v="0"/>
    <n v="0"/>
  </r>
  <r>
    <n v="23"/>
    <x v="23"/>
    <x v="0"/>
    <n v="423"/>
    <n v="607"/>
    <n v="191"/>
    <n v="1773"/>
    <n v="1012"/>
    <n v="815"/>
    <n v="14"/>
  </r>
  <r>
    <n v="24"/>
    <x v="24"/>
    <x v="0"/>
    <n v="102"/>
    <n v="35"/>
    <n v="16"/>
    <n v="58"/>
    <n v="0"/>
    <n v="227"/>
    <n v="0"/>
  </r>
  <r>
    <n v="25"/>
    <x v="25"/>
    <x v="0"/>
    <n v="1958"/>
    <n v="2879"/>
    <n v="2211"/>
    <n v="2870"/>
    <n v="2575"/>
    <n v="7365"/>
    <n v="0"/>
  </r>
  <r>
    <n v="26"/>
    <x v="26"/>
    <x v="0"/>
    <n v="74"/>
    <n v="126"/>
    <n v="56"/>
    <n v="103"/>
    <n v="84"/>
    <n v="301"/>
    <n v="0"/>
  </r>
  <r>
    <n v="27"/>
    <x v="27"/>
    <x v="0"/>
    <n v="709"/>
    <n v="695"/>
    <n v="265"/>
    <n v="954"/>
    <n v="48"/>
    <n v="3859"/>
    <n v="3"/>
  </r>
  <r>
    <n v="28"/>
    <x v="28"/>
    <x v="0"/>
    <n v="3"/>
    <n v="2"/>
    <n v="0"/>
    <n v="19"/>
    <n v="1"/>
    <n v="9"/>
    <n v="0"/>
  </r>
  <r>
    <n v="29"/>
    <x v="29"/>
    <x v="0"/>
    <n v="18"/>
    <n v="50"/>
    <n v="3"/>
    <n v="24"/>
    <n v="15"/>
    <n v="36"/>
    <n v="0"/>
  </r>
  <r>
    <n v="30"/>
    <x v="30"/>
    <x v="0"/>
    <n v="6"/>
    <n v="2"/>
    <n v="0"/>
    <n v="7"/>
    <n v="0"/>
    <n v="4"/>
    <n v="0"/>
  </r>
  <r>
    <n v="31"/>
    <x v="31"/>
    <x v="0"/>
    <n v="0"/>
    <n v="3"/>
    <n v="0"/>
    <n v="0"/>
    <n v="0"/>
    <n v="4"/>
    <n v="0"/>
  </r>
  <r>
    <n v="32"/>
    <x v="32"/>
    <x v="0"/>
    <n v="0"/>
    <n v="0"/>
    <n v="0"/>
    <n v="0"/>
    <n v="0"/>
    <n v="0"/>
    <n v="0"/>
  </r>
  <r>
    <n v="33"/>
    <x v="33"/>
    <x v="0"/>
    <n v="9"/>
    <n v="3"/>
    <n v="1"/>
    <n v="35"/>
    <n v="27"/>
    <n v="3"/>
    <n v="0"/>
  </r>
  <r>
    <n v="34"/>
    <x v="0"/>
    <x v="1"/>
    <n v="1002"/>
    <n v="854"/>
    <n v="449"/>
    <n v="3799"/>
    <n v="2024"/>
    <n v="7018"/>
    <n v="0"/>
  </r>
  <r>
    <n v="35"/>
    <x v="1"/>
    <x v="1"/>
    <n v="38"/>
    <n v="38"/>
    <n v="0"/>
    <n v="68"/>
    <n v="2"/>
    <n v="13"/>
    <n v="0"/>
  </r>
  <r>
    <n v="36"/>
    <x v="2"/>
    <x v="1"/>
    <n v="970"/>
    <n v="1276"/>
    <n v="70"/>
    <n v="984"/>
    <n v="7"/>
    <n v="1694"/>
    <n v="0"/>
  </r>
  <r>
    <n v="37"/>
    <x v="3"/>
    <x v="1"/>
    <n v="1040"/>
    <n v="744"/>
    <n v="927"/>
    <n v="621"/>
    <n v="6"/>
    <n v="1577"/>
    <n v="38"/>
  </r>
  <r>
    <n v="38"/>
    <x v="4"/>
    <x v="1"/>
    <n v="992"/>
    <n v="154"/>
    <n v="85"/>
    <n v="1483"/>
    <n v="147"/>
    <n v="653"/>
    <n v="0"/>
  </r>
  <r>
    <n v="39"/>
    <x v="5"/>
    <x v="1"/>
    <n v="12"/>
    <n v="5"/>
    <n v="2"/>
    <n v="18"/>
    <n v="6"/>
    <n v="8"/>
    <n v="0"/>
  </r>
  <r>
    <n v="40"/>
    <x v="6"/>
    <x v="1"/>
    <n v="267"/>
    <n v="807"/>
    <n v="62"/>
    <n v="750"/>
    <n v="104"/>
    <n v="3321"/>
    <n v="0"/>
  </r>
  <r>
    <n v="41"/>
    <x v="7"/>
    <x v="1"/>
    <n v="361"/>
    <n v="290"/>
    <n v="256"/>
    <n v="454"/>
    <n v="1424"/>
    <n v="1565"/>
    <n v="0"/>
  </r>
  <r>
    <n v="42"/>
    <x v="8"/>
    <x v="1"/>
    <n v="137"/>
    <n v="116"/>
    <n v="6"/>
    <n v="326"/>
    <n v="12"/>
    <n v="234"/>
    <n v="0"/>
  </r>
  <r>
    <n v="43"/>
    <x v="9"/>
    <x v="1"/>
    <n v="192"/>
    <n v="596"/>
    <n v="18"/>
    <n v="785"/>
    <n v="368"/>
    <n v="54"/>
    <n v="0"/>
  </r>
  <r>
    <n v="44"/>
    <x v="10"/>
    <x v="1"/>
    <n v="797"/>
    <n v="178"/>
    <n v="275"/>
    <n v="411"/>
    <n v="3"/>
    <n v="588"/>
    <n v="36"/>
  </r>
  <r>
    <n v="45"/>
    <x v="11"/>
    <x v="1"/>
    <n v="292"/>
    <n v="300"/>
    <n v="233"/>
    <n v="1648"/>
    <n v="100"/>
    <n v="1826"/>
    <n v="0"/>
  </r>
  <r>
    <n v="46"/>
    <x v="12"/>
    <x v="1"/>
    <n v="499"/>
    <n v="91"/>
    <n v="17"/>
    <n v="2123"/>
    <n v="102"/>
    <n v="2836"/>
    <n v="0"/>
  </r>
  <r>
    <n v="47"/>
    <x v="13"/>
    <x v="1"/>
    <n v="2891"/>
    <n v="639"/>
    <n v="674"/>
    <n v="7118"/>
    <n v="783"/>
    <n v="3117"/>
    <n v="0"/>
  </r>
  <r>
    <n v="48"/>
    <x v="14"/>
    <x v="1"/>
    <n v="1352"/>
    <n v="650"/>
    <n v="303"/>
    <n v="2686"/>
    <n v="769"/>
    <n v="5353"/>
    <n v="0"/>
  </r>
  <r>
    <n v="49"/>
    <x v="15"/>
    <x v="1"/>
    <n v="14"/>
    <n v="82"/>
    <n v="0"/>
    <n v="58"/>
    <n v="0"/>
    <n v="10"/>
    <n v="0"/>
  </r>
  <r>
    <n v="50"/>
    <x v="16"/>
    <x v="1"/>
    <n v="38"/>
    <n v="10"/>
    <n v="0"/>
    <n v="23"/>
    <n v="0"/>
    <n v="0"/>
    <n v="0"/>
  </r>
  <r>
    <n v="51"/>
    <x v="17"/>
    <x v="1"/>
    <n v="76"/>
    <n v="2"/>
    <n v="0"/>
    <n v="73"/>
    <n v="0"/>
    <n v="3"/>
    <n v="0"/>
  </r>
  <r>
    <n v="52"/>
    <x v="18"/>
    <x v="1"/>
    <n v="17"/>
    <n v="4"/>
    <n v="0"/>
    <n v="1"/>
    <n v="0"/>
    <n v="0"/>
    <n v="0"/>
  </r>
  <r>
    <n v="53"/>
    <x v="19"/>
    <x v="1"/>
    <n v="691"/>
    <n v="432"/>
    <n v="248"/>
    <n v="1605"/>
    <n v="188"/>
    <n v="1167"/>
    <n v="0"/>
  </r>
  <r>
    <n v="54"/>
    <x v="20"/>
    <x v="1"/>
    <n v="299"/>
    <n v="354"/>
    <n v="166"/>
    <n v="341"/>
    <n v="145"/>
    <n v="944"/>
    <n v="0"/>
  </r>
  <r>
    <n v="55"/>
    <x v="21"/>
    <x v="1"/>
    <n v="1051"/>
    <n v="2019"/>
    <n v="399"/>
    <n v="2730"/>
    <n v="44"/>
    <n v="5691"/>
    <n v="0"/>
  </r>
  <r>
    <n v="56"/>
    <x v="22"/>
    <x v="1"/>
    <n v="6"/>
    <n v="2"/>
    <n v="0"/>
    <n v="17"/>
    <n v="0"/>
    <n v="3"/>
    <n v="0"/>
  </r>
  <r>
    <n v="57"/>
    <x v="23"/>
    <x v="1"/>
    <n v="534"/>
    <n v="714"/>
    <n v="243"/>
    <n v="1877"/>
    <n v="1718"/>
    <n v="1052"/>
    <n v="0"/>
  </r>
  <r>
    <n v="58"/>
    <x v="24"/>
    <x v="1"/>
    <n v="108"/>
    <n v="48"/>
    <n v="16"/>
    <n v="128"/>
    <n v="0"/>
    <n v="236"/>
    <n v="0"/>
  </r>
  <r>
    <n v="59"/>
    <x v="25"/>
    <x v="1"/>
    <n v="1415"/>
    <n v="2298"/>
    <n v="1893"/>
    <n v="2145"/>
    <n v="1887"/>
    <n v="5679"/>
    <n v="0"/>
  </r>
  <r>
    <n v="60"/>
    <x v="26"/>
    <x v="1"/>
    <n v="89"/>
    <n v="155"/>
    <n v="66"/>
    <n v="145"/>
    <n v="97"/>
    <n v="316"/>
    <n v="1"/>
  </r>
  <r>
    <n v="61"/>
    <x v="27"/>
    <x v="1"/>
    <n v="759"/>
    <n v="694"/>
    <n v="273"/>
    <n v="964"/>
    <n v="34"/>
    <n v="4069"/>
    <n v="1"/>
  </r>
  <r>
    <n v="62"/>
    <x v="28"/>
    <x v="1"/>
    <n v="2"/>
    <n v="1"/>
    <n v="0"/>
    <n v="17"/>
    <n v="3"/>
    <n v="4"/>
    <n v="0"/>
  </r>
  <r>
    <n v="63"/>
    <x v="29"/>
    <x v="1"/>
    <n v="18"/>
    <n v="47"/>
    <n v="1"/>
    <n v="36"/>
    <n v="28"/>
    <n v="56"/>
    <n v="0"/>
  </r>
  <r>
    <n v="64"/>
    <x v="30"/>
    <x v="1"/>
    <n v="4"/>
    <n v="5"/>
    <n v="0"/>
    <n v="3"/>
    <n v="0"/>
    <n v="3"/>
    <n v="0"/>
  </r>
  <r>
    <n v="65"/>
    <x v="31"/>
    <x v="1"/>
    <n v="0"/>
    <n v="2"/>
    <n v="0"/>
    <n v="0"/>
    <n v="0"/>
    <n v="3"/>
    <n v="0"/>
  </r>
  <r>
    <n v="66"/>
    <x v="32"/>
    <x v="1"/>
    <n v="1"/>
    <n v="0"/>
    <n v="0"/>
    <n v="1"/>
    <n v="0"/>
    <n v="0"/>
    <n v="0"/>
  </r>
  <r>
    <n v="67"/>
    <x v="33"/>
    <x v="1"/>
    <n v="6"/>
    <n v="6"/>
    <n v="5"/>
    <n v="59"/>
    <n v="26"/>
    <n v="9"/>
    <n v="0"/>
  </r>
  <r>
    <n v="68"/>
    <x v="0"/>
    <x v="2"/>
    <n v="946"/>
    <n v="931"/>
    <n v="466"/>
    <n v="4128"/>
    <n v="2286"/>
    <n v="8167"/>
    <n v="5"/>
  </r>
  <r>
    <n v="69"/>
    <x v="1"/>
    <x v="2"/>
    <n v="31"/>
    <n v="51"/>
    <n v="0"/>
    <n v="43"/>
    <n v="0"/>
    <n v="14"/>
    <n v="0"/>
  </r>
  <r>
    <n v="70"/>
    <x v="2"/>
    <x v="2"/>
    <n v="1095"/>
    <n v="1351"/>
    <n v="60"/>
    <n v="878"/>
    <n v="6"/>
    <n v="1808"/>
    <n v="0"/>
  </r>
  <r>
    <n v="71"/>
    <x v="3"/>
    <x v="2"/>
    <n v="985"/>
    <n v="674"/>
    <n v="909"/>
    <n v="688"/>
    <n v="11"/>
    <n v="1880"/>
    <n v="37"/>
  </r>
  <r>
    <n v="72"/>
    <x v="4"/>
    <x v="2"/>
    <n v="898"/>
    <n v="149"/>
    <n v="79"/>
    <n v="1481"/>
    <n v="105"/>
    <n v="601"/>
    <n v="0"/>
  </r>
  <r>
    <n v="73"/>
    <x v="5"/>
    <x v="2"/>
    <n v="31"/>
    <n v="13"/>
    <n v="2"/>
    <n v="19"/>
    <n v="7"/>
    <n v="24"/>
    <n v="0"/>
  </r>
  <r>
    <n v="74"/>
    <x v="6"/>
    <x v="2"/>
    <n v="236"/>
    <n v="859"/>
    <n v="54"/>
    <n v="722"/>
    <n v="92"/>
    <n v="3684"/>
    <n v="0"/>
  </r>
  <r>
    <n v="75"/>
    <x v="7"/>
    <x v="2"/>
    <n v="353"/>
    <n v="271"/>
    <n v="222"/>
    <n v="344"/>
    <n v="1302"/>
    <n v="1618"/>
    <n v="0"/>
  </r>
  <r>
    <n v="76"/>
    <x v="8"/>
    <x v="2"/>
    <n v="126"/>
    <n v="96"/>
    <n v="6"/>
    <n v="250"/>
    <n v="18"/>
    <n v="221"/>
    <n v="0"/>
  </r>
  <r>
    <n v="77"/>
    <x v="9"/>
    <x v="2"/>
    <n v="211"/>
    <n v="615"/>
    <n v="10"/>
    <n v="875"/>
    <n v="376"/>
    <n v="71"/>
    <n v="0"/>
  </r>
  <r>
    <n v="78"/>
    <x v="10"/>
    <x v="2"/>
    <n v="712"/>
    <n v="262"/>
    <n v="262"/>
    <n v="424"/>
    <n v="2"/>
    <n v="559"/>
    <n v="0"/>
  </r>
  <r>
    <n v="79"/>
    <x v="11"/>
    <x v="2"/>
    <n v="321"/>
    <n v="244"/>
    <n v="194"/>
    <n v="1585"/>
    <n v="84"/>
    <n v="1704"/>
    <n v="0"/>
  </r>
  <r>
    <n v="80"/>
    <x v="12"/>
    <x v="2"/>
    <n v="394"/>
    <n v="102"/>
    <n v="33"/>
    <n v="1947"/>
    <n v="68"/>
    <n v="2930"/>
    <n v="0"/>
  </r>
  <r>
    <n v="81"/>
    <x v="13"/>
    <x v="2"/>
    <n v="2738"/>
    <n v="608"/>
    <n v="648"/>
    <n v="6848"/>
    <n v="705"/>
    <n v="2938"/>
    <n v="0"/>
  </r>
  <r>
    <n v="82"/>
    <x v="14"/>
    <x v="2"/>
    <n v="1268"/>
    <n v="626"/>
    <n v="368"/>
    <n v="2661"/>
    <n v="682"/>
    <n v="5452"/>
    <n v="0"/>
  </r>
  <r>
    <n v="83"/>
    <x v="15"/>
    <x v="2"/>
    <n v="18"/>
    <n v="71"/>
    <n v="0"/>
    <n v="44"/>
    <n v="0"/>
    <n v="4"/>
    <n v="0"/>
  </r>
  <r>
    <n v="84"/>
    <x v="16"/>
    <x v="2"/>
    <n v="40"/>
    <n v="10"/>
    <n v="0"/>
    <n v="13"/>
    <n v="1"/>
    <n v="4"/>
    <n v="0"/>
  </r>
  <r>
    <n v="85"/>
    <x v="17"/>
    <x v="2"/>
    <n v="54"/>
    <n v="2"/>
    <n v="0"/>
    <n v="88"/>
    <n v="0"/>
    <n v="3"/>
    <n v="0"/>
  </r>
  <r>
    <n v="86"/>
    <x v="18"/>
    <x v="2"/>
    <n v="14"/>
    <n v="3"/>
    <n v="0"/>
    <n v="4"/>
    <n v="2"/>
    <n v="0"/>
    <n v="1"/>
  </r>
  <r>
    <n v="87"/>
    <x v="19"/>
    <x v="2"/>
    <n v="725"/>
    <n v="373"/>
    <n v="279"/>
    <n v="1669"/>
    <n v="188"/>
    <n v="1289"/>
    <n v="0"/>
  </r>
  <r>
    <n v="88"/>
    <x v="20"/>
    <x v="2"/>
    <n v="380"/>
    <n v="295"/>
    <n v="110"/>
    <n v="346"/>
    <n v="199"/>
    <n v="987"/>
    <n v="0"/>
  </r>
  <r>
    <n v="89"/>
    <x v="21"/>
    <x v="2"/>
    <n v="1050"/>
    <n v="1750"/>
    <n v="389"/>
    <n v="2715"/>
    <n v="33"/>
    <n v="5733"/>
    <n v="1"/>
  </r>
  <r>
    <n v="90"/>
    <x v="22"/>
    <x v="2"/>
    <n v="10"/>
    <n v="0"/>
    <n v="0"/>
    <n v="25"/>
    <n v="0"/>
    <n v="1"/>
    <n v="0"/>
  </r>
  <r>
    <n v="91"/>
    <x v="23"/>
    <x v="2"/>
    <n v="557"/>
    <n v="632"/>
    <n v="220"/>
    <n v="2022"/>
    <n v="881"/>
    <n v="1555"/>
    <n v="1"/>
  </r>
  <r>
    <n v="92"/>
    <x v="24"/>
    <x v="2"/>
    <n v="114"/>
    <n v="29"/>
    <n v="20"/>
    <n v="127"/>
    <n v="0"/>
    <n v="247"/>
    <n v="0"/>
  </r>
  <r>
    <n v="93"/>
    <x v="25"/>
    <x v="2"/>
    <n v="911"/>
    <n v="1499"/>
    <n v="1322"/>
    <n v="1098"/>
    <n v="4970"/>
    <n v="2626"/>
    <n v="0"/>
  </r>
  <r>
    <n v="94"/>
    <x v="26"/>
    <x v="2"/>
    <n v="107"/>
    <n v="134"/>
    <n v="93"/>
    <n v="136"/>
    <n v="98"/>
    <n v="317"/>
    <n v="0"/>
  </r>
  <r>
    <n v="95"/>
    <x v="27"/>
    <x v="2"/>
    <n v="1002"/>
    <n v="801"/>
    <n v="329"/>
    <n v="1186"/>
    <n v="71"/>
    <n v="4948"/>
    <n v="1"/>
  </r>
  <r>
    <n v="96"/>
    <x v="28"/>
    <x v="2"/>
    <n v="2"/>
    <n v="2"/>
    <n v="0"/>
    <n v="9"/>
    <n v="2"/>
    <n v="7"/>
    <n v="0"/>
  </r>
  <r>
    <n v="97"/>
    <x v="29"/>
    <x v="2"/>
    <n v="18"/>
    <n v="28"/>
    <n v="1"/>
    <n v="11"/>
    <n v="4"/>
    <n v="93"/>
    <n v="0"/>
  </r>
  <r>
    <n v="98"/>
    <x v="30"/>
    <x v="2"/>
    <n v="1"/>
    <n v="4"/>
    <n v="0"/>
    <n v="4"/>
    <n v="0"/>
    <n v="2"/>
    <n v="0"/>
  </r>
  <r>
    <n v="99"/>
    <x v="31"/>
    <x v="2"/>
    <n v="5"/>
    <n v="1"/>
    <n v="1"/>
    <n v="3"/>
    <n v="0"/>
    <n v="0"/>
    <n v="0"/>
  </r>
  <r>
    <n v="100"/>
    <x v="32"/>
    <x v="2"/>
    <n v="2"/>
    <n v="0"/>
    <n v="0"/>
    <n v="1"/>
    <n v="0"/>
    <n v="1"/>
    <n v="0"/>
  </r>
  <r>
    <n v="101"/>
    <x v="33"/>
    <x v="2"/>
    <n v="2"/>
    <n v="13"/>
    <n v="1"/>
    <n v="56"/>
    <n v="27"/>
    <n v="4"/>
    <n v="0"/>
  </r>
  <r>
    <n v="102"/>
    <x v="0"/>
    <x v="3"/>
    <n v="1016"/>
    <n v="1030"/>
    <n v="512"/>
    <n v="3817"/>
    <n v="2310"/>
    <n v="8388"/>
    <n v="2"/>
  </r>
  <r>
    <n v="103"/>
    <x v="1"/>
    <x v="3"/>
    <n v="42"/>
    <n v="41"/>
    <n v="0"/>
    <n v="61"/>
    <n v="0"/>
    <n v="4"/>
    <n v="0"/>
  </r>
  <r>
    <n v="104"/>
    <x v="2"/>
    <x v="3"/>
    <n v="1171"/>
    <n v="1552"/>
    <n v="74"/>
    <n v="883"/>
    <n v="11"/>
    <n v="1945"/>
    <n v="0"/>
  </r>
  <r>
    <n v="105"/>
    <x v="3"/>
    <x v="3"/>
    <n v="1390"/>
    <n v="997"/>
    <n v="1029"/>
    <n v="704"/>
    <n v="13"/>
    <n v="2679"/>
    <n v="35"/>
  </r>
  <r>
    <n v="106"/>
    <x v="4"/>
    <x v="3"/>
    <n v="969"/>
    <n v="174"/>
    <n v="71"/>
    <n v="1661"/>
    <n v="131"/>
    <n v="741"/>
    <n v="0"/>
  </r>
  <r>
    <n v="107"/>
    <x v="5"/>
    <x v="3"/>
    <n v="37"/>
    <n v="10"/>
    <n v="2"/>
    <n v="23"/>
    <n v="15"/>
    <n v="17"/>
    <n v="0"/>
  </r>
  <r>
    <n v="108"/>
    <x v="6"/>
    <x v="3"/>
    <n v="339"/>
    <n v="905"/>
    <n v="58"/>
    <n v="757"/>
    <n v="164"/>
    <n v="3955"/>
    <n v="0"/>
  </r>
  <r>
    <n v="109"/>
    <x v="7"/>
    <x v="3"/>
    <n v="386"/>
    <n v="292"/>
    <n v="251"/>
    <n v="403"/>
    <n v="850"/>
    <n v="2026"/>
    <n v="0"/>
  </r>
  <r>
    <n v="110"/>
    <x v="8"/>
    <x v="3"/>
    <n v="153"/>
    <n v="99"/>
    <n v="8"/>
    <n v="284"/>
    <n v="16"/>
    <n v="252"/>
    <n v="0"/>
  </r>
  <r>
    <n v="111"/>
    <x v="9"/>
    <x v="3"/>
    <n v="218"/>
    <n v="632"/>
    <n v="9"/>
    <n v="990"/>
    <n v="264"/>
    <n v="82"/>
    <n v="0"/>
  </r>
  <r>
    <n v="112"/>
    <x v="10"/>
    <x v="3"/>
    <n v="797"/>
    <n v="178"/>
    <n v="275"/>
    <n v="411"/>
    <n v="3"/>
    <n v="588"/>
    <n v="36"/>
  </r>
  <r>
    <n v="113"/>
    <x v="11"/>
    <x v="3"/>
    <n v="291"/>
    <n v="286"/>
    <n v="259"/>
    <n v="1435"/>
    <n v="57"/>
    <n v="1588"/>
    <n v="0"/>
  </r>
  <r>
    <n v="114"/>
    <x v="12"/>
    <x v="3"/>
    <n v="480"/>
    <n v="142"/>
    <n v="31"/>
    <n v="2260"/>
    <n v="133"/>
    <n v="3222"/>
    <n v="0"/>
  </r>
  <r>
    <n v="115"/>
    <x v="13"/>
    <x v="3"/>
    <n v="2875"/>
    <n v="584"/>
    <n v="751"/>
    <n v="6690"/>
    <n v="804"/>
    <n v="3436"/>
    <n v="0"/>
  </r>
  <r>
    <n v="116"/>
    <x v="14"/>
    <x v="3"/>
    <n v="1388"/>
    <n v="787"/>
    <n v="314"/>
    <n v="2831"/>
    <n v="862"/>
    <n v="5646"/>
    <n v="0"/>
  </r>
  <r>
    <n v="117"/>
    <x v="15"/>
    <x v="3"/>
    <n v="31"/>
    <n v="71"/>
    <n v="0"/>
    <n v="30"/>
    <n v="0"/>
    <n v="2"/>
    <n v="0"/>
  </r>
  <r>
    <n v="118"/>
    <x v="16"/>
    <x v="3"/>
    <n v="54"/>
    <n v="18"/>
    <n v="2"/>
    <n v="34"/>
    <n v="0"/>
    <n v="5"/>
    <n v="0"/>
  </r>
  <r>
    <n v="119"/>
    <x v="17"/>
    <x v="3"/>
    <n v="20"/>
    <n v="0"/>
    <n v="0"/>
    <n v="66"/>
    <n v="0"/>
    <n v="0"/>
    <n v="0"/>
  </r>
  <r>
    <n v="120"/>
    <x v="18"/>
    <x v="3"/>
    <n v="18"/>
    <n v="4"/>
    <n v="0"/>
    <n v="3"/>
    <n v="1"/>
    <n v="0"/>
    <n v="0"/>
  </r>
  <r>
    <n v="121"/>
    <x v="19"/>
    <x v="3"/>
    <n v="770"/>
    <n v="423"/>
    <n v="319"/>
    <n v="1811"/>
    <n v="170"/>
    <n v="1192"/>
    <n v="0"/>
  </r>
  <r>
    <n v="122"/>
    <x v="20"/>
    <x v="3"/>
    <n v="390"/>
    <n v="311"/>
    <n v="113"/>
    <n v="261"/>
    <n v="38"/>
    <n v="801"/>
    <n v="0"/>
  </r>
  <r>
    <n v="123"/>
    <x v="21"/>
    <x v="3"/>
    <n v="1038"/>
    <n v="1881"/>
    <n v="379"/>
    <n v="2825"/>
    <n v="41"/>
    <n v="6781"/>
    <n v="1"/>
  </r>
  <r>
    <n v="124"/>
    <x v="22"/>
    <x v="3"/>
    <n v="3"/>
    <n v="4"/>
    <n v="0"/>
    <n v="40"/>
    <n v="0"/>
    <n v="1"/>
    <n v="0"/>
  </r>
  <r>
    <n v="125"/>
    <x v="23"/>
    <x v="3"/>
    <n v="618"/>
    <n v="692"/>
    <n v="225"/>
    <n v="1861"/>
    <n v="1081"/>
    <n v="1437"/>
    <n v="0"/>
  </r>
  <r>
    <n v="126"/>
    <x v="24"/>
    <x v="3"/>
    <n v="160"/>
    <n v="54"/>
    <n v="20"/>
    <n v="134"/>
    <n v="0"/>
    <n v="302"/>
    <n v="0"/>
  </r>
  <r>
    <n v="127"/>
    <x v="25"/>
    <x v="3"/>
    <n v="1397"/>
    <n v="2324"/>
    <n v="1708"/>
    <n v="1900"/>
    <n v="2682"/>
    <n v="4950"/>
    <n v="3"/>
  </r>
  <r>
    <n v="128"/>
    <x v="26"/>
    <x v="3"/>
    <n v="115"/>
    <n v="127"/>
    <n v="82"/>
    <n v="143"/>
    <n v="110"/>
    <n v="405"/>
    <n v="0"/>
  </r>
  <r>
    <n v="129"/>
    <x v="27"/>
    <x v="3"/>
    <n v="1475"/>
    <n v="1018"/>
    <n v="396"/>
    <n v="1566"/>
    <n v="64"/>
    <n v="6334"/>
    <n v="12"/>
  </r>
  <r>
    <n v="130"/>
    <x v="28"/>
    <x v="3"/>
    <n v="10"/>
    <n v="3"/>
    <n v="0"/>
    <n v="6"/>
    <n v="3"/>
    <n v="5"/>
    <n v="0"/>
  </r>
  <r>
    <n v="131"/>
    <x v="29"/>
    <x v="3"/>
    <n v="19"/>
    <n v="43"/>
    <n v="6"/>
    <n v="20"/>
    <n v="18"/>
    <n v="73"/>
    <n v="0"/>
  </r>
  <r>
    <n v="132"/>
    <x v="30"/>
    <x v="3"/>
    <n v="7"/>
    <n v="7"/>
    <n v="0"/>
    <n v="5"/>
    <n v="0"/>
    <n v="3"/>
    <n v="0"/>
  </r>
  <r>
    <n v="133"/>
    <x v="31"/>
    <x v="3"/>
    <n v="1"/>
    <n v="0"/>
    <n v="0"/>
    <n v="1"/>
    <n v="0"/>
    <n v="4"/>
    <n v="0"/>
  </r>
  <r>
    <n v="134"/>
    <x v="32"/>
    <x v="3"/>
    <n v="0"/>
    <n v="0"/>
    <n v="0"/>
    <n v="0"/>
    <n v="0"/>
    <n v="1"/>
    <n v="0"/>
  </r>
  <r>
    <n v="135"/>
    <x v="33"/>
    <x v="3"/>
    <n v="4"/>
    <n v="8"/>
    <n v="6"/>
    <n v="50"/>
    <n v="30"/>
    <n v="2"/>
    <n v="0"/>
  </r>
  <r>
    <n v="136"/>
    <x v="0"/>
    <x v="4"/>
    <n v="935"/>
    <n v="995"/>
    <n v="443"/>
    <n v="3595"/>
    <n v="2508"/>
    <n v="8696"/>
    <n v="3"/>
  </r>
  <r>
    <n v="137"/>
    <x v="1"/>
    <x v="4"/>
    <n v="35"/>
    <n v="39"/>
    <n v="0"/>
    <n v="67"/>
    <n v="0"/>
    <n v="9"/>
    <n v="0"/>
  </r>
  <r>
    <n v="138"/>
    <x v="2"/>
    <x v="4"/>
    <n v="1238"/>
    <n v="1456"/>
    <n v="99"/>
    <n v="899"/>
    <n v="19"/>
    <n v="2206"/>
    <n v="3"/>
  </r>
  <r>
    <n v="139"/>
    <x v="3"/>
    <x v="4"/>
    <n v="1147"/>
    <n v="929"/>
    <n v="1014"/>
    <n v="451"/>
    <n v="13"/>
    <n v="1574"/>
    <n v="74"/>
  </r>
  <r>
    <n v="140"/>
    <x v="4"/>
    <x v="4"/>
    <n v="990"/>
    <n v="184"/>
    <n v="100"/>
    <n v="1450"/>
    <n v="132"/>
    <n v="732"/>
    <n v="0"/>
  </r>
  <r>
    <n v="141"/>
    <x v="5"/>
    <x v="4"/>
    <n v="20"/>
    <n v="12"/>
    <n v="2"/>
    <n v="30"/>
    <n v="8"/>
    <n v="11"/>
    <n v="0"/>
  </r>
  <r>
    <n v="142"/>
    <x v="6"/>
    <x v="4"/>
    <n v="324"/>
    <n v="916"/>
    <n v="48"/>
    <n v="802"/>
    <n v="104"/>
    <n v="4090"/>
    <n v="0"/>
  </r>
  <r>
    <n v="143"/>
    <x v="7"/>
    <x v="4"/>
    <n v="461"/>
    <n v="344"/>
    <n v="212"/>
    <n v="380"/>
    <n v="597"/>
    <n v="2075"/>
    <n v="0"/>
  </r>
  <r>
    <n v="144"/>
    <x v="8"/>
    <x v="4"/>
    <n v="141"/>
    <n v="102"/>
    <n v="2"/>
    <n v="286"/>
    <n v="29"/>
    <n v="228"/>
    <n v="0"/>
  </r>
  <r>
    <n v="145"/>
    <x v="9"/>
    <x v="4"/>
    <n v="201"/>
    <n v="658"/>
    <n v="5"/>
    <n v="830"/>
    <n v="371"/>
    <n v="76"/>
    <n v="0"/>
  </r>
  <r>
    <n v="146"/>
    <x v="10"/>
    <x v="4"/>
    <n v="753"/>
    <n v="283"/>
    <n v="257"/>
    <n v="293"/>
    <n v="36"/>
    <n v="590"/>
    <n v="4"/>
  </r>
  <r>
    <n v="147"/>
    <x v="11"/>
    <x v="4"/>
    <n v="343"/>
    <n v="312"/>
    <n v="261"/>
    <n v="1585"/>
    <n v="71"/>
    <n v="1883"/>
    <n v="0"/>
  </r>
  <r>
    <n v="148"/>
    <x v="12"/>
    <x v="4"/>
    <n v="478"/>
    <n v="129"/>
    <n v="21"/>
    <n v="2339"/>
    <n v="175"/>
    <n v="3283"/>
    <n v="0"/>
  </r>
  <r>
    <n v="149"/>
    <x v="13"/>
    <x v="4"/>
    <n v="2921"/>
    <n v="604"/>
    <n v="739"/>
    <n v="6426"/>
    <n v="792"/>
    <n v="2989"/>
    <n v="3"/>
  </r>
  <r>
    <n v="150"/>
    <x v="14"/>
    <x v="4"/>
    <n v="1545"/>
    <n v="851"/>
    <n v="341"/>
    <n v="3228"/>
    <n v="919"/>
    <n v="6233"/>
    <n v="0"/>
  </r>
  <r>
    <n v="151"/>
    <x v="15"/>
    <x v="4"/>
    <n v="25"/>
    <n v="69"/>
    <n v="0"/>
    <n v="25"/>
    <n v="0"/>
    <n v="20"/>
    <n v="0"/>
  </r>
  <r>
    <n v="152"/>
    <x v="16"/>
    <x v="4"/>
    <n v="63"/>
    <n v="19"/>
    <n v="1"/>
    <n v="44"/>
    <n v="0"/>
    <n v="3"/>
    <n v="0"/>
  </r>
  <r>
    <n v="153"/>
    <x v="17"/>
    <x v="4"/>
    <n v="37"/>
    <n v="0"/>
    <n v="4"/>
    <n v="49"/>
    <n v="4"/>
    <n v="0"/>
    <n v="0"/>
  </r>
  <r>
    <n v="154"/>
    <x v="18"/>
    <x v="4"/>
    <n v="17"/>
    <n v="9"/>
    <n v="0"/>
    <n v="7"/>
    <n v="0"/>
    <n v="0"/>
    <n v="0"/>
  </r>
  <r>
    <n v="155"/>
    <x v="19"/>
    <x v="4"/>
    <n v="799"/>
    <n v="547"/>
    <n v="334"/>
    <n v="2238"/>
    <n v="184"/>
    <n v="1671"/>
    <n v="0"/>
  </r>
  <r>
    <n v="156"/>
    <x v="20"/>
    <x v="4"/>
    <n v="398"/>
    <n v="329"/>
    <n v="99"/>
    <n v="308"/>
    <n v="43"/>
    <n v="729"/>
    <n v="0"/>
  </r>
  <r>
    <n v="157"/>
    <x v="21"/>
    <x v="4"/>
    <n v="993"/>
    <n v="1549"/>
    <n v="361"/>
    <n v="2503"/>
    <n v="28"/>
    <n v="5997"/>
    <n v="0"/>
  </r>
  <r>
    <n v="158"/>
    <x v="22"/>
    <x v="4"/>
    <n v="18"/>
    <n v="2"/>
    <n v="0"/>
    <n v="38"/>
    <n v="0"/>
    <n v="4"/>
    <n v="0"/>
  </r>
  <r>
    <n v="159"/>
    <x v="23"/>
    <x v="4"/>
    <n v="571"/>
    <n v="783"/>
    <n v="215"/>
    <n v="1764"/>
    <n v="665"/>
    <n v="1650"/>
    <n v="0"/>
  </r>
  <r>
    <n v="160"/>
    <x v="24"/>
    <x v="4"/>
    <n v="162"/>
    <n v="43"/>
    <n v="34"/>
    <n v="161"/>
    <n v="1"/>
    <n v="439"/>
    <n v="0"/>
  </r>
  <r>
    <n v="161"/>
    <x v="25"/>
    <x v="4"/>
    <n v="1217"/>
    <n v="2256"/>
    <n v="1564"/>
    <n v="1835"/>
    <n v="2881"/>
    <n v="4505"/>
    <n v="0"/>
  </r>
  <r>
    <n v="162"/>
    <x v="26"/>
    <x v="4"/>
    <n v="133"/>
    <n v="125"/>
    <n v="63"/>
    <n v="100"/>
    <n v="89"/>
    <n v="272"/>
    <n v="0"/>
  </r>
  <r>
    <n v="163"/>
    <x v="27"/>
    <x v="4"/>
    <n v="1686"/>
    <n v="1039"/>
    <n v="446"/>
    <n v="1572"/>
    <n v="54"/>
    <n v="6936"/>
    <n v="61"/>
  </r>
  <r>
    <n v="164"/>
    <x v="28"/>
    <x v="4"/>
    <n v="4"/>
    <n v="1"/>
    <n v="0"/>
    <n v="11"/>
    <n v="1"/>
    <n v="5"/>
    <n v="0"/>
  </r>
  <r>
    <n v="165"/>
    <x v="29"/>
    <x v="4"/>
    <n v="33"/>
    <n v="45"/>
    <n v="3"/>
    <n v="31"/>
    <n v="9"/>
    <n v="75"/>
    <n v="0"/>
  </r>
  <r>
    <n v="166"/>
    <x v="30"/>
    <x v="4"/>
    <n v="5"/>
    <n v="9"/>
    <n v="0"/>
    <n v="5"/>
    <n v="0"/>
    <n v="5"/>
    <n v="0"/>
  </r>
  <r>
    <n v="167"/>
    <x v="31"/>
    <x v="4"/>
    <n v="2"/>
    <n v="2"/>
    <n v="1"/>
    <n v="1"/>
    <n v="0"/>
    <n v="3"/>
    <n v="0"/>
  </r>
  <r>
    <n v="168"/>
    <x v="32"/>
    <x v="4"/>
    <n v="0"/>
    <n v="0"/>
    <n v="0"/>
    <n v="0"/>
    <n v="0"/>
    <n v="0"/>
    <n v="0"/>
  </r>
  <r>
    <n v="169"/>
    <x v="33"/>
    <x v="4"/>
    <n v="6"/>
    <n v="3"/>
    <n v="4"/>
    <n v="60"/>
    <n v="26"/>
    <n v="6"/>
    <n v="0"/>
  </r>
  <r>
    <n v="170"/>
    <x v="0"/>
    <x v="5"/>
    <n v="1049"/>
    <n v="1329"/>
    <n v="519"/>
    <n v="4534"/>
    <n v="2411"/>
    <n v="9164"/>
    <n v="0"/>
  </r>
  <r>
    <n v="171"/>
    <x v="1"/>
    <x v="5"/>
    <n v="37"/>
    <n v="51"/>
    <n v="1"/>
    <n v="63"/>
    <n v="2"/>
    <n v="14"/>
    <n v="0"/>
  </r>
  <r>
    <n v="172"/>
    <x v="2"/>
    <x v="5"/>
    <n v="1244"/>
    <n v="1544"/>
    <n v="105"/>
    <n v="1290"/>
    <n v="10"/>
    <n v="2548"/>
    <n v="0"/>
  </r>
  <r>
    <n v="173"/>
    <x v="3"/>
    <x v="5"/>
    <n v="1232"/>
    <n v="1084"/>
    <n v="1188"/>
    <n v="530"/>
    <n v="53"/>
    <n v="1689"/>
    <n v="42"/>
  </r>
  <r>
    <n v="174"/>
    <x v="4"/>
    <x v="5"/>
    <n v="995"/>
    <n v="178"/>
    <n v="103"/>
    <n v="1598"/>
    <n v="143"/>
    <n v="717"/>
    <n v="1"/>
  </r>
  <r>
    <n v="175"/>
    <x v="5"/>
    <x v="5"/>
    <n v="21"/>
    <n v="10"/>
    <n v="0"/>
    <n v="18"/>
    <n v="7"/>
    <n v="14"/>
    <n v="0"/>
  </r>
  <r>
    <n v="176"/>
    <x v="6"/>
    <x v="5"/>
    <n v="354"/>
    <n v="945"/>
    <n v="50"/>
    <n v="736"/>
    <n v="138"/>
    <n v="4977"/>
    <n v="0"/>
  </r>
  <r>
    <n v="177"/>
    <x v="7"/>
    <x v="5"/>
    <n v="608"/>
    <n v="431"/>
    <n v="255"/>
    <n v="486"/>
    <n v="491"/>
    <n v="2254"/>
    <n v="0"/>
  </r>
  <r>
    <n v="178"/>
    <x v="8"/>
    <x v="5"/>
    <n v="113"/>
    <n v="109"/>
    <n v="3"/>
    <n v="275"/>
    <n v="31"/>
    <n v="259"/>
    <n v="0"/>
  </r>
  <r>
    <n v="179"/>
    <x v="9"/>
    <x v="5"/>
    <n v="250"/>
    <n v="723"/>
    <n v="10"/>
    <n v="960"/>
    <n v="347"/>
    <n v="135"/>
    <n v="0"/>
  </r>
  <r>
    <n v="180"/>
    <x v="10"/>
    <x v="5"/>
    <n v="799"/>
    <n v="410"/>
    <n v="281"/>
    <n v="414"/>
    <n v="44"/>
    <n v="668"/>
    <n v="5"/>
  </r>
  <r>
    <n v="181"/>
    <x v="11"/>
    <x v="5"/>
    <n v="400"/>
    <n v="328"/>
    <n v="244"/>
    <n v="1683"/>
    <n v="38"/>
    <n v="2129"/>
    <n v="0"/>
  </r>
  <r>
    <n v="182"/>
    <x v="12"/>
    <x v="5"/>
    <n v="601"/>
    <n v="202"/>
    <n v="25"/>
    <n v="2543"/>
    <n v="222"/>
    <n v="3708"/>
    <n v="0"/>
  </r>
  <r>
    <n v="183"/>
    <x v="13"/>
    <x v="5"/>
    <n v="2900"/>
    <n v="617"/>
    <n v="764"/>
    <n v="6243"/>
    <n v="762"/>
    <n v="2989"/>
    <n v="0"/>
  </r>
  <r>
    <n v="184"/>
    <x v="14"/>
    <x v="5"/>
    <n v="1500"/>
    <n v="921"/>
    <n v="387"/>
    <n v="3479"/>
    <n v="984"/>
    <n v="6738"/>
    <n v="1"/>
  </r>
  <r>
    <n v="185"/>
    <x v="15"/>
    <x v="5"/>
    <n v="40"/>
    <n v="79"/>
    <n v="0"/>
    <n v="42"/>
    <n v="0"/>
    <n v="10"/>
    <n v="0"/>
  </r>
  <r>
    <n v="186"/>
    <x v="16"/>
    <x v="5"/>
    <n v="74"/>
    <n v="25"/>
    <n v="6"/>
    <n v="57"/>
    <n v="0"/>
    <n v="13"/>
    <n v="0"/>
  </r>
  <r>
    <n v="187"/>
    <x v="17"/>
    <x v="5"/>
    <n v="72"/>
    <n v="1"/>
    <n v="0"/>
    <n v="51"/>
    <n v="0"/>
    <n v="1"/>
    <n v="0"/>
  </r>
  <r>
    <n v="188"/>
    <x v="18"/>
    <x v="5"/>
    <n v="23"/>
    <n v="3"/>
    <n v="0"/>
    <n v="3"/>
    <n v="2"/>
    <n v="3"/>
    <n v="0"/>
  </r>
  <r>
    <n v="189"/>
    <x v="19"/>
    <x v="5"/>
    <n v="985"/>
    <n v="577"/>
    <n v="457"/>
    <n v="2415"/>
    <n v="247"/>
    <n v="694"/>
    <n v="12"/>
  </r>
  <r>
    <n v="190"/>
    <x v="20"/>
    <x v="5"/>
    <n v="442"/>
    <n v="418"/>
    <n v="130"/>
    <n v="314"/>
    <n v="60"/>
    <n v="801"/>
    <n v="2"/>
  </r>
  <r>
    <n v="191"/>
    <x v="21"/>
    <x v="5"/>
    <n v="1085"/>
    <n v="1553"/>
    <n v="394"/>
    <n v="2582"/>
    <n v="31"/>
    <n v="7038"/>
    <n v="3"/>
  </r>
  <r>
    <n v="192"/>
    <x v="22"/>
    <x v="5"/>
    <n v="20"/>
    <n v="7"/>
    <n v="0"/>
    <n v="14"/>
    <n v="0"/>
    <n v="6"/>
    <n v="0"/>
  </r>
  <r>
    <n v="193"/>
    <x v="23"/>
    <x v="5"/>
    <n v="457"/>
    <n v="718"/>
    <n v="187"/>
    <n v="1179"/>
    <n v="852"/>
    <n v="1248"/>
    <n v="0"/>
  </r>
  <r>
    <n v="194"/>
    <x v="24"/>
    <x v="5"/>
    <n v="189"/>
    <n v="62"/>
    <n v="35"/>
    <n v="207"/>
    <n v="0"/>
    <n v="471"/>
    <n v="0"/>
  </r>
  <r>
    <n v="195"/>
    <x v="25"/>
    <x v="5"/>
    <n v="1314"/>
    <n v="2551"/>
    <n v="1798"/>
    <n v="2096"/>
    <n v="2714"/>
    <n v="5204"/>
    <n v="0"/>
  </r>
  <r>
    <n v="196"/>
    <x v="26"/>
    <x v="5"/>
    <n v="147"/>
    <n v="183"/>
    <n v="80"/>
    <n v="153"/>
    <n v="113"/>
    <n v="358"/>
    <n v="0"/>
  </r>
  <r>
    <n v="197"/>
    <x v="27"/>
    <x v="5"/>
    <n v="1731"/>
    <n v="1199"/>
    <n v="445"/>
    <n v="1837"/>
    <n v="63"/>
    <n v="7414"/>
    <n v="1"/>
  </r>
  <r>
    <n v="198"/>
    <x v="28"/>
    <x v="5"/>
    <n v="6"/>
    <n v="5"/>
    <n v="0"/>
    <n v="14"/>
    <n v="4"/>
    <n v="7"/>
    <n v="0"/>
  </r>
  <r>
    <n v="199"/>
    <x v="29"/>
    <x v="5"/>
    <n v="19"/>
    <n v="57"/>
    <n v="10"/>
    <n v="20"/>
    <n v="13"/>
    <n v="102"/>
    <n v="0"/>
  </r>
  <r>
    <n v="200"/>
    <x v="30"/>
    <x v="5"/>
    <n v="6"/>
    <n v="14"/>
    <n v="1"/>
    <n v="5"/>
    <n v="1"/>
    <n v="5"/>
    <n v="0"/>
  </r>
  <r>
    <n v="201"/>
    <x v="31"/>
    <x v="5"/>
    <n v="3"/>
    <n v="1"/>
    <n v="0"/>
    <n v="2"/>
    <n v="0"/>
    <n v="2"/>
    <n v="0"/>
  </r>
  <r>
    <n v="202"/>
    <x v="32"/>
    <x v="5"/>
    <n v="0"/>
    <n v="0"/>
    <n v="0"/>
    <n v="0"/>
    <n v="0"/>
    <n v="1"/>
    <n v="0"/>
  </r>
  <r>
    <n v="203"/>
    <x v="33"/>
    <x v="5"/>
    <n v="9"/>
    <n v="13"/>
    <n v="3"/>
    <n v="56"/>
    <n v="39"/>
    <n v="19"/>
    <n v="0"/>
  </r>
  <r>
    <n v="204"/>
    <x v="0"/>
    <x v="6"/>
    <n v="1070"/>
    <n v="1564"/>
    <n v="613"/>
    <n v="4406"/>
    <n v="3316"/>
    <n v="11335"/>
    <n v="0"/>
  </r>
  <r>
    <n v="205"/>
    <x v="1"/>
    <x v="6"/>
    <n v="48"/>
    <n v="44"/>
    <n v="0"/>
    <n v="72"/>
    <n v="1"/>
    <n v="20"/>
    <n v="0"/>
  </r>
  <r>
    <n v="206"/>
    <x v="2"/>
    <x v="6"/>
    <n v="1437"/>
    <n v="1471"/>
    <n v="100"/>
    <n v="789"/>
    <n v="10"/>
    <n v="3000"/>
    <n v="0"/>
  </r>
  <r>
    <n v="207"/>
    <x v="3"/>
    <x v="6"/>
    <n v="1555"/>
    <n v="1260"/>
    <n v="1172"/>
    <n v="853"/>
    <n v="12"/>
    <n v="1635"/>
    <n v="56"/>
  </r>
  <r>
    <n v="208"/>
    <x v="4"/>
    <x v="6"/>
    <n v="982"/>
    <n v="181"/>
    <n v="100"/>
    <n v="1549"/>
    <n v="111"/>
    <n v="824"/>
    <n v="0"/>
  </r>
  <r>
    <n v="209"/>
    <x v="5"/>
    <x v="6"/>
    <n v="20"/>
    <n v="7"/>
    <n v="2"/>
    <n v="20"/>
    <n v="7"/>
    <n v="14"/>
    <n v="0"/>
  </r>
  <r>
    <n v="210"/>
    <x v="6"/>
    <x v="6"/>
    <n v="316"/>
    <n v="1089"/>
    <n v="42"/>
    <n v="822"/>
    <n v="120"/>
    <n v="5827"/>
    <n v="0"/>
  </r>
  <r>
    <n v="211"/>
    <x v="7"/>
    <x v="6"/>
    <n v="488"/>
    <n v="554"/>
    <n v="269"/>
    <n v="417"/>
    <n v="409"/>
    <n v="2412"/>
    <n v="0"/>
  </r>
  <r>
    <n v="212"/>
    <x v="8"/>
    <x v="6"/>
    <n v="159"/>
    <n v="150"/>
    <n v="8"/>
    <n v="322"/>
    <n v="33"/>
    <n v="342"/>
    <n v="0"/>
  </r>
  <r>
    <n v="213"/>
    <x v="9"/>
    <x v="6"/>
    <n v="288"/>
    <n v="707"/>
    <n v="9"/>
    <n v="986"/>
    <n v="353"/>
    <n v="176"/>
    <n v="0"/>
  </r>
  <r>
    <n v="214"/>
    <x v="10"/>
    <x v="6"/>
    <n v="855"/>
    <n v="534"/>
    <n v="303"/>
    <n v="342"/>
    <n v="15"/>
    <n v="801"/>
    <n v="0"/>
  </r>
  <r>
    <n v="215"/>
    <x v="11"/>
    <x v="6"/>
    <n v="436"/>
    <n v="390"/>
    <n v="251"/>
    <n v="1828"/>
    <n v="28"/>
    <n v="2507"/>
    <n v="0"/>
  </r>
  <r>
    <n v="216"/>
    <x v="12"/>
    <x v="6"/>
    <n v="512"/>
    <n v="177"/>
    <n v="27"/>
    <n v="2624"/>
    <n v="262"/>
    <n v="3999"/>
    <n v="0"/>
  </r>
  <r>
    <n v="217"/>
    <x v="13"/>
    <x v="6"/>
    <n v="3010"/>
    <n v="701"/>
    <n v="742"/>
    <n v="6772"/>
    <n v="780"/>
    <n v="3294"/>
    <n v="0"/>
  </r>
  <r>
    <n v="218"/>
    <x v="14"/>
    <x v="6"/>
    <n v="1451"/>
    <n v="967"/>
    <n v="436"/>
    <n v="3306"/>
    <n v="1039"/>
    <n v="7356"/>
    <n v="0"/>
  </r>
  <r>
    <n v="219"/>
    <x v="15"/>
    <x v="6"/>
    <n v="20"/>
    <n v="83"/>
    <n v="0"/>
    <n v="70"/>
    <n v="0"/>
    <n v="15"/>
    <n v="0"/>
  </r>
  <r>
    <n v="220"/>
    <x v="16"/>
    <x v="6"/>
    <n v="82"/>
    <n v="22"/>
    <n v="2"/>
    <n v="45"/>
    <n v="1"/>
    <n v="19"/>
    <n v="0"/>
  </r>
  <r>
    <n v="221"/>
    <x v="17"/>
    <x v="6"/>
    <n v="83"/>
    <n v="0"/>
    <n v="0"/>
    <n v="66"/>
    <n v="0"/>
    <n v="2"/>
    <n v="0"/>
  </r>
  <r>
    <n v="222"/>
    <x v="18"/>
    <x v="6"/>
    <n v="13"/>
    <n v="6"/>
    <n v="0"/>
    <n v="8"/>
    <n v="1"/>
    <n v="0"/>
    <n v="0"/>
  </r>
  <r>
    <n v="223"/>
    <x v="19"/>
    <x v="6"/>
    <n v="939"/>
    <n v="660"/>
    <n v="461"/>
    <n v="2775"/>
    <n v="241"/>
    <n v="728"/>
    <n v="0"/>
  </r>
  <r>
    <n v="224"/>
    <x v="20"/>
    <x v="6"/>
    <n v="519"/>
    <n v="545"/>
    <n v="133"/>
    <n v="427"/>
    <n v="48"/>
    <n v="971"/>
    <n v="0"/>
  </r>
  <r>
    <n v="225"/>
    <x v="21"/>
    <x v="6"/>
    <n v="1238"/>
    <n v="1694"/>
    <n v="439"/>
    <n v="2477"/>
    <n v="28"/>
    <n v="8170"/>
    <n v="0"/>
  </r>
  <r>
    <n v="226"/>
    <x v="22"/>
    <x v="6"/>
    <n v="24"/>
    <n v="9"/>
    <n v="0"/>
    <n v="13"/>
    <n v="0"/>
    <n v="7"/>
    <n v="0"/>
  </r>
  <r>
    <n v="227"/>
    <x v="23"/>
    <x v="6"/>
    <n v="523"/>
    <n v="1097"/>
    <n v="208"/>
    <n v="1540"/>
    <n v="875"/>
    <n v="1976"/>
    <n v="0"/>
  </r>
  <r>
    <n v="228"/>
    <x v="24"/>
    <x v="6"/>
    <n v="157"/>
    <n v="81"/>
    <n v="36"/>
    <n v="244"/>
    <n v="4"/>
    <n v="545"/>
    <n v="0"/>
  </r>
  <r>
    <n v="229"/>
    <x v="25"/>
    <x v="6"/>
    <n v="1648"/>
    <n v="3363"/>
    <n v="2076"/>
    <n v="2522"/>
    <n v="2882"/>
    <n v="7650"/>
    <n v="0"/>
  </r>
  <r>
    <n v="230"/>
    <x v="26"/>
    <x v="6"/>
    <n v="117"/>
    <n v="227"/>
    <n v="70"/>
    <n v="146"/>
    <n v="63"/>
    <n v="463"/>
    <n v="0"/>
  </r>
  <r>
    <n v="231"/>
    <x v="27"/>
    <x v="6"/>
    <n v="2106"/>
    <n v="1590"/>
    <n v="451"/>
    <n v="2281"/>
    <n v="99"/>
    <n v="9900"/>
    <n v="5"/>
  </r>
  <r>
    <n v="232"/>
    <x v="28"/>
    <x v="6"/>
    <n v="3"/>
    <n v="9"/>
    <n v="1"/>
    <n v="21"/>
    <n v="2"/>
    <n v="18"/>
    <n v="0"/>
  </r>
  <r>
    <n v="233"/>
    <x v="29"/>
    <x v="6"/>
    <n v="22"/>
    <n v="46"/>
    <n v="1"/>
    <n v="32"/>
    <n v="11"/>
    <n v="112"/>
    <n v="0"/>
  </r>
  <r>
    <n v="234"/>
    <x v="30"/>
    <x v="6"/>
    <n v="7"/>
    <n v="6"/>
    <n v="0"/>
    <n v="0"/>
    <n v="0"/>
    <n v="3"/>
    <n v="0"/>
  </r>
  <r>
    <n v="235"/>
    <x v="31"/>
    <x v="6"/>
    <n v="1"/>
    <n v="1"/>
    <n v="1"/>
    <n v="0"/>
    <n v="0"/>
    <n v="3"/>
    <n v="0"/>
  </r>
  <r>
    <n v="236"/>
    <x v="32"/>
    <x v="6"/>
    <n v="1"/>
    <n v="0"/>
    <n v="0"/>
    <n v="2"/>
    <n v="0"/>
    <n v="2"/>
    <n v="0"/>
  </r>
  <r>
    <n v="237"/>
    <x v="33"/>
    <x v="6"/>
    <n v="9"/>
    <n v="14"/>
    <n v="2"/>
    <n v="89"/>
    <n v="32"/>
    <n v="17"/>
    <n v="0"/>
  </r>
  <r>
    <n v="238"/>
    <x v="0"/>
    <x v="7"/>
    <n v="1257"/>
    <n v="1396"/>
    <n v="556"/>
    <n v="4730"/>
    <n v="3551"/>
    <n v="10306"/>
    <n v="0"/>
  </r>
  <r>
    <n v="239"/>
    <x v="1"/>
    <x v="7"/>
    <n v="42"/>
    <n v="47"/>
    <n v="0"/>
    <n v="72"/>
    <n v="1"/>
    <n v="13"/>
    <n v="0"/>
  </r>
  <r>
    <n v="240"/>
    <x v="2"/>
    <x v="7"/>
    <n v="1438"/>
    <n v="1789"/>
    <n v="103"/>
    <n v="1272"/>
    <n v="2"/>
    <n v="3478"/>
    <n v="0"/>
  </r>
  <r>
    <n v="241"/>
    <x v="3"/>
    <x v="7"/>
    <n v="1302"/>
    <n v="1789"/>
    <n v="1210"/>
    <n v="999"/>
    <n v="21"/>
    <n v="1992"/>
    <n v="22"/>
  </r>
  <r>
    <n v="242"/>
    <x v="4"/>
    <x v="7"/>
    <n v="978"/>
    <n v="216"/>
    <n v="106"/>
    <n v="1621"/>
    <n v="125"/>
    <n v="897"/>
    <n v="0"/>
  </r>
  <r>
    <n v="243"/>
    <x v="5"/>
    <x v="7"/>
    <n v="30"/>
    <n v="28"/>
    <n v="2"/>
    <n v="32"/>
    <n v="12"/>
    <n v="12"/>
    <n v="0"/>
  </r>
  <r>
    <n v="244"/>
    <x v="6"/>
    <x v="7"/>
    <n v="374"/>
    <n v="1119"/>
    <n v="27"/>
    <n v="828"/>
    <n v="122"/>
    <n v="6094"/>
    <n v="0"/>
  </r>
  <r>
    <n v="245"/>
    <x v="7"/>
    <x v="7"/>
    <n v="631"/>
    <n v="644"/>
    <n v="302"/>
    <n v="435"/>
    <n v="605"/>
    <n v="2435"/>
    <n v="0"/>
  </r>
  <r>
    <n v="246"/>
    <x v="8"/>
    <x v="7"/>
    <n v="157"/>
    <n v="137"/>
    <n v="3"/>
    <n v="295"/>
    <n v="41"/>
    <n v="343"/>
    <n v="0"/>
  </r>
  <r>
    <n v="247"/>
    <x v="9"/>
    <x v="7"/>
    <n v="219"/>
    <n v="656"/>
    <n v="21"/>
    <n v="935"/>
    <n v="296"/>
    <n v="162"/>
    <n v="0"/>
  </r>
  <r>
    <n v="248"/>
    <x v="10"/>
    <x v="7"/>
    <n v="791"/>
    <n v="499"/>
    <n v="266"/>
    <n v="271"/>
    <n v="23"/>
    <n v="851"/>
    <n v="39"/>
  </r>
  <r>
    <n v="249"/>
    <x v="11"/>
    <x v="7"/>
    <n v="446"/>
    <n v="405"/>
    <n v="259"/>
    <n v="1954"/>
    <n v="44"/>
    <n v="2638"/>
    <n v="1"/>
  </r>
  <r>
    <n v="250"/>
    <x v="12"/>
    <x v="7"/>
    <n v="568"/>
    <n v="166"/>
    <n v="31"/>
    <n v="2745"/>
    <n v="258"/>
    <n v="4138"/>
    <n v="0"/>
  </r>
  <r>
    <n v="251"/>
    <x v="13"/>
    <x v="7"/>
    <n v="2937"/>
    <n v="736"/>
    <n v="805"/>
    <n v="6445"/>
    <n v="758"/>
    <n v="3185"/>
    <n v="0"/>
  </r>
  <r>
    <n v="252"/>
    <x v="14"/>
    <x v="7"/>
    <n v="1558"/>
    <n v="998"/>
    <n v="390"/>
    <n v="3619"/>
    <n v="1091"/>
    <n v="7829"/>
    <n v="0"/>
  </r>
  <r>
    <n v="253"/>
    <x v="15"/>
    <x v="7"/>
    <n v="38"/>
    <n v="87"/>
    <n v="1"/>
    <n v="57"/>
    <n v="0"/>
    <n v="28"/>
    <n v="0"/>
  </r>
  <r>
    <n v="254"/>
    <x v="16"/>
    <x v="7"/>
    <n v="88"/>
    <n v="25"/>
    <n v="2"/>
    <n v="54"/>
    <n v="4"/>
    <n v="32"/>
    <n v="0"/>
  </r>
  <r>
    <n v="255"/>
    <x v="17"/>
    <x v="7"/>
    <n v="77"/>
    <n v="1"/>
    <n v="0"/>
    <n v="78"/>
    <n v="0"/>
    <n v="5"/>
    <n v="0"/>
  </r>
  <r>
    <n v="256"/>
    <x v="18"/>
    <x v="7"/>
    <n v="19"/>
    <n v="7"/>
    <n v="0"/>
    <n v="15"/>
    <n v="1"/>
    <n v="4"/>
    <n v="0"/>
  </r>
  <r>
    <n v="257"/>
    <x v="19"/>
    <x v="7"/>
    <n v="1113"/>
    <n v="762"/>
    <n v="401"/>
    <n v="2782"/>
    <n v="282"/>
    <n v="1618"/>
    <n v="0"/>
  </r>
  <r>
    <n v="258"/>
    <x v="20"/>
    <x v="7"/>
    <n v="517"/>
    <n v="514"/>
    <n v="128"/>
    <n v="388"/>
    <n v="49"/>
    <n v="984"/>
    <n v="0"/>
  </r>
  <r>
    <n v="259"/>
    <x v="21"/>
    <x v="7"/>
    <n v="1355"/>
    <n v="1863"/>
    <n v="439"/>
    <n v="2520"/>
    <n v="19"/>
    <n v="8113"/>
    <n v="0"/>
  </r>
  <r>
    <n v="260"/>
    <x v="22"/>
    <x v="7"/>
    <n v="20"/>
    <n v="4"/>
    <n v="0"/>
    <n v="19"/>
    <n v="0"/>
    <n v="5"/>
    <n v="0"/>
  </r>
  <r>
    <n v="261"/>
    <x v="23"/>
    <x v="7"/>
    <n v="573"/>
    <n v="1160"/>
    <n v="207"/>
    <n v="1705"/>
    <n v="974"/>
    <n v="1648"/>
    <n v="0"/>
  </r>
  <r>
    <n v="262"/>
    <x v="24"/>
    <x v="7"/>
    <n v="204"/>
    <n v="110"/>
    <n v="16"/>
    <n v="346"/>
    <n v="4"/>
    <n v="735"/>
    <n v="0"/>
  </r>
  <r>
    <n v="263"/>
    <x v="25"/>
    <x v="7"/>
    <n v="1871"/>
    <n v="4439"/>
    <n v="2237"/>
    <n v="2955"/>
    <n v="3374"/>
    <n v="8312"/>
    <n v="0"/>
  </r>
  <r>
    <n v="264"/>
    <x v="26"/>
    <x v="7"/>
    <n v="87"/>
    <n v="222"/>
    <n v="73"/>
    <n v="120"/>
    <n v="306"/>
    <n v="340"/>
    <n v="0"/>
  </r>
  <r>
    <n v="265"/>
    <x v="27"/>
    <x v="7"/>
    <n v="2263"/>
    <n v="1907"/>
    <n v="451"/>
    <n v="2396"/>
    <n v="94"/>
    <n v="13663"/>
    <n v="5"/>
  </r>
  <r>
    <n v="266"/>
    <x v="28"/>
    <x v="7"/>
    <n v="12"/>
    <n v="13"/>
    <n v="2"/>
    <n v="24"/>
    <n v="3"/>
    <n v="26"/>
    <n v="0"/>
  </r>
  <r>
    <n v="267"/>
    <x v="29"/>
    <x v="7"/>
    <n v="20"/>
    <n v="42"/>
    <n v="3"/>
    <n v="19"/>
    <n v="2"/>
    <n v="49"/>
    <n v="0"/>
  </r>
  <r>
    <n v="268"/>
    <x v="30"/>
    <x v="7"/>
    <n v="6"/>
    <n v="11"/>
    <n v="0"/>
    <n v="4"/>
    <n v="0"/>
    <n v="4"/>
    <n v="0"/>
  </r>
  <r>
    <n v="269"/>
    <x v="31"/>
    <x v="7"/>
    <n v="0"/>
    <n v="1"/>
    <n v="0"/>
    <n v="2"/>
    <n v="1"/>
    <n v="5"/>
    <n v="0"/>
  </r>
  <r>
    <n v="270"/>
    <x v="32"/>
    <x v="7"/>
    <n v="2"/>
    <n v="1"/>
    <n v="0"/>
    <n v="0"/>
    <n v="0"/>
    <n v="1"/>
    <n v="0"/>
  </r>
  <r>
    <n v="271"/>
    <x v="33"/>
    <x v="7"/>
    <n v="8"/>
    <n v="9"/>
    <n v="2"/>
    <n v="65"/>
    <n v="21"/>
    <n v="12"/>
    <n v="0"/>
  </r>
  <r>
    <n v="272"/>
    <x v="0"/>
    <x v="8"/>
    <n v="1188"/>
    <n v="1526"/>
    <n v="546"/>
    <n v="5147"/>
    <n v="3520"/>
    <n v="11297"/>
    <n v="0"/>
  </r>
  <r>
    <n v="273"/>
    <x v="1"/>
    <x v="8"/>
    <n v="59"/>
    <n v="28"/>
    <n v="0"/>
    <n v="58"/>
    <n v="6"/>
    <n v="13"/>
    <n v="0"/>
  </r>
  <r>
    <n v="274"/>
    <x v="2"/>
    <x v="8"/>
    <n v="1631"/>
    <n v="2092"/>
    <n v="170"/>
    <n v="1342"/>
    <n v="10"/>
    <n v="4398"/>
    <n v="1"/>
  </r>
  <r>
    <n v="275"/>
    <x v="3"/>
    <x v="8"/>
    <n v="929"/>
    <n v="1986"/>
    <n v="1295"/>
    <n v="726"/>
    <n v="12"/>
    <n v="2532"/>
    <n v="31"/>
  </r>
  <r>
    <n v="276"/>
    <x v="4"/>
    <x v="8"/>
    <n v="976"/>
    <n v="229"/>
    <n v="128"/>
    <n v="1598"/>
    <n v="152"/>
    <n v="893"/>
    <n v="0"/>
  </r>
  <r>
    <n v="277"/>
    <x v="5"/>
    <x v="8"/>
    <n v="47"/>
    <n v="22"/>
    <n v="3"/>
    <n v="37"/>
    <n v="10"/>
    <n v="21"/>
    <n v="0"/>
  </r>
  <r>
    <n v="278"/>
    <x v="6"/>
    <x v="8"/>
    <n v="433"/>
    <n v="1162"/>
    <n v="24"/>
    <n v="727"/>
    <n v="114"/>
    <n v="5506"/>
    <n v="0"/>
  </r>
  <r>
    <n v="279"/>
    <x v="7"/>
    <x v="8"/>
    <n v="603"/>
    <n v="659"/>
    <n v="281"/>
    <n v="451"/>
    <n v="605"/>
    <n v="2617"/>
    <n v="0"/>
  </r>
  <r>
    <n v="280"/>
    <x v="8"/>
    <x v="8"/>
    <n v="183"/>
    <n v="122"/>
    <n v="1"/>
    <n v="318"/>
    <n v="37"/>
    <n v="284"/>
    <n v="0"/>
  </r>
  <r>
    <n v="281"/>
    <x v="9"/>
    <x v="8"/>
    <n v="237"/>
    <n v="825"/>
    <n v="12"/>
    <n v="972"/>
    <n v="371"/>
    <n v="196"/>
    <n v="0"/>
  </r>
  <r>
    <n v="282"/>
    <x v="10"/>
    <x v="8"/>
    <n v="719"/>
    <n v="517"/>
    <n v="295"/>
    <n v="276"/>
    <n v="83"/>
    <n v="710"/>
    <n v="6"/>
  </r>
  <r>
    <n v="283"/>
    <x v="11"/>
    <x v="8"/>
    <n v="509"/>
    <n v="408"/>
    <n v="264"/>
    <n v="2186"/>
    <n v="64"/>
    <n v="3185"/>
    <n v="2"/>
  </r>
  <r>
    <n v="284"/>
    <x v="12"/>
    <x v="8"/>
    <n v="568"/>
    <n v="173"/>
    <n v="20"/>
    <n v="2540"/>
    <n v="395"/>
    <n v="4007"/>
    <n v="0"/>
  </r>
  <r>
    <n v="285"/>
    <x v="13"/>
    <x v="8"/>
    <n v="2998"/>
    <n v="841"/>
    <n v="858"/>
    <n v="6307"/>
    <n v="728"/>
    <n v="3983"/>
    <n v="1"/>
  </r>
  <r>
    <n v="286"/>
    <x v="14"/>
    <x v="8"/>
    <n v="1483"/>
    <n v="926"/>
    <n v="341"/>
    <n v="3196"/>
    <n v="1099"/>
    <n v="7681"/>
    <n v="0"/>
  </r>
  <r>
    <n v="287"/>
    <x v="15"/>
    <x v="8"/>
    <n v="31"/>
    <n v="97"/>
    <n v="0"/>
    <n v="39"/>
    <n v="2"/>
    <n v="25"/>
    <n v="0"/>
  </r>
  <r>
    <n v="288"/>
    <x v="16"/>
    <x v="8"/>
    <n v="112"/>
    <n v="26"/>
    <n v="0"/>
    <n v="72"/>
    <n v="1"/>
    <n v="24"/>
    <n v="1"/>
  </r>
  <r>
    <n v="289"/>
    <x v="17"/>
    <x v="8"/>
    <n v="83"/>
    <n v="0"/>
    <n v="0"/>
    <n v="61"/>
    <n v="1"/>
    <n v="4"/>
    <n v="0"/>
  </r>
  <r>
    <n v="290"/>
    <x v="18"/>
    <x v="8"/>
    <n v="22"/>
    <n v="10"/>
    <n v="0"/>
    <n v="11"/>
    <n v="0"/>
    <n v="0"/>
    <n v="0"/>
  </r>
  <r>
    <n v="291"/>
    <x v="19"/>
    <x v="8"/>
    <n v="1023"/>
    <n v="799"/>
    <n v="384"/>
    <n v="2697"/>
    <n v="210"/>
    <n v="2047"/>
    <n v="1"/>
  </r>
  <r>
    <n v="292"/>
    <x v="20"/>
    <x v="8"/>
    <n v="511"/>
    <n v="513"/>
    <n v="126"/>
    <n v="319"/>
    <n v="33"/>
    <n v="1061"/>
    <n v="0"/>
  </r>
  <r>
    <n v="293"/>
    <x v="21"/>
    <x v="8"/>
    <n v="1519"/>
    <n v="2310"/>
    <n v="436"/>
    <n v="2485"/>
    <n v="24"/>
    <n v="10371"/>
    <n v="0"/>
  </r>
  <r>
    <n v="294"/>
    <x v="22"/>
    <x v="8"/>
    <n v="18"/>
    <n v="6"/>
    <n v="0"/>
    <n v="10"/>
    <n v="0"/>
    <n v="6"/>
    <n v="0"/>
  </r>
  <r>
    <n v="295"/>
    <x v="23"/>
    <x v="8"/>
    <n v="596"/>
    <n v="1133"/>
    <n v="194"/>
    <n v="1242"/>
    <n v="501"/>
    <n v="1460"/>
    <n v="0"/>
  </r>
  <r>
    <n v="296"/>
    <x v="24"/>
    <x v="8"/>
    <n v="190"/>
    <n v="92"/>
    <n v="29"/>
    <n v="384"/>
    <n v="5"/>
    <n v="815"/>
    <n v="0"/>
  </r>
  <r>
    <n v="297"/>
    <x v="25"/>
    <x v="8"/>
    <n v="1759"/>
    <n v="5078"/>
    <n v="2232"/>
    <n v="2782"/>
    <n v="2524"/>
    <n v="8566"/>
    <n v="0"/>
  </r>
  <r>
    <n v="298"/>
    <x v="26"/>
    <x v="8"/>
    <n v="111"/>
    <n v="247"/>
    <n v="94"/>
    <n v="119"/>
    <n v="249"/>
    <n v="361"/>
    <n v="0"/>
  </r>
  <r>
    <n v="299"/>
    <x v="27"/>
    <x v="8"/>
    <n v="2336"/>
    <n v="2187"/>
    <n v="506"/>
    <n v="1942"/>
    <n v="108"/>
    <n v="16112"/>
    <n v="5"/>
  </r>
  <r>
    <n v="300"/>
    <x v="28"/>
    <x v="8"/>
    <n v="18"/>
    <n v="14"/>
    <n v="1"/>
    <n v="30"/>
    <n v="7"/>
    <n v="21"/>
    <n v="0"/>
  </r>
  <r>
    <n v="301"/>
    <x v="29"/>
    <x v="8"/>
    <n v="29"/>
    <n v="36"/>
    <n v="2"/>
    <n v="26"/>
    <n v="2"/>
    <n v="51"/>
    <n v="0"/>
  </r>
  <r>
    <n v="302"/>
    <x v="30"/>
    <x v="8"/>
    <n v="4"/>
    <n v="9"/>
    <n v="0"/>
    <n v="2"/>
    <n v="1"/>
    <n v="3"/>
    <n v="0"/>
  </r>
  <r>
    <n v="303"/>
    <x v="31"/>
    <x v="8"/>
    <n v="1"/>
    <n v="0"/>
    <n v="0"/>
    <n v="4"/>
    <n v="1"/>
    <n v="3"/>
    <n v="0"/>
  </r>
  <r>
    <n v="304"/>
    <x v="32"/>
    <x v="8"/>
    <n v="1"/>
    <n v="0"/>
    <n v="0"/>
    <n v="0"/>
    <n v="0"/>
    <n v="0"/>
    <n v="0"/>
  </r>
  <r>
    <n v="305"/>
    <x v="33"/>
    <x v="8"/>
    <n v="1"/>
    <n v="13"/>
    <n v="0"/>
    <n v="53"/>
    <n v="16"/>
    <n v="10"/>
    <n v="0"/>
  </r>
  <r>
    <n v="306"/>
    <x v="0"/>
    <x v="9"/>
    <n v="1362"/>
    <n v="1531"/>
    <n v="588"/>
    <n v="4634"/>
    <n v="4562"/>
    <n v="12080"/>
    <n v="0"/>
  </r>
  <r>
    <n v="307"/>
    <x v="1"/>
    <x v="9"/>
    <n v="47"/>
    <n v="46"/>
    <n v="0"/>
    <n v="84"/>
    <n v="1"/>
    <n v="12"/>
    <n v="0"/>
  </r>
  <r>
    <n v="308"/>
    <x v="2"/>
    <x v="9"/>
    <n v="1721"/>
    <n v="2767"/>
    <n v="175"/>
    <n v="1400"/>
    <n v="20"/>
    <n v="5410"/>
    <n v="0"/>
  </r>
  <r>
    <n v="309"/>
    <x v="3"/>
    <x v="9"/>
    <n v="795"/>
    <n v="2569"/>
    <n v="1257"/>
    <n v="534"/>
    <n v="16"/>
    <n v="2271"/>
    <n v="8"/>
  </r>
  <r>
    <n v="310"/>
    <x v="4"/>
    <x v="9"/>
    <n v="1012"/>
    <n v="279"/>
    <n v="115"/>
    <n v="1706"/>
    <n v="182"/>
    <n v="861"/>
    <n v="2"/>
  </r>
  <r>
    <n v="311"/>
    <x v="5"/>
    <x v="9"/>
    <n v="36"/>
    <n v="18"/>
    <n v="1"/>
    <n v="36"/>
    <n v="16"/>
    <n v="17"/>
    <n v="0"/>
  </r>
  <r>
    <n v="312"/>
    <x v="6"/>
    <x v="9"/>
    <n v="408"/>
    <n v="1290"/>
    <n v="19"/>
    <n v="668"/>
    <n v="110"/>
    <n v="5600"/>
    <n v="0"/>
  </r>
  <r>
    <n v="313"/>
    <x v="7"/>
    <x v="9"/>
    <n v="720"/>
    <n v="714"/>
    <n v="284"/>
    <n v="476"/>
    <n v="580"/>
    <n v="2720"/>
    <n v="0"/>
  </r>
  <r>
    <n v="314"/>
    <x v="8"/>
    <x v="9"/>
    <n v="160"/>
    <n v="162"/>
    <n v="2"/>
    <n v="350"/>
    <n v="78"/>
    <n v="275"/>
    <n v="0"/>
  </r>
  <r>
    <n v="315"/>
    <x v="9"/>
    <x v="9"/>
    <n v="245"/>
    <n v="840"/>
    <n v="9"/>
    <n v="1038"/>
    <n v="262"/>
    <n v="211"/>
    <n v="0"/>
  </r>
  <r>
    <n v="316"/>
    <x v="10"/>
    <x v="9"/>
    <n v="773"/>
    <n v="696"/>
    <n v="276"/>
    <n v="245"/>
    <n v="16"/>
    <n v="650"/>
    <n v="8"/>
  </r>
  <r>
    <n v="317"/>
    <x v="11"/>
    <x v="9"/>
    <n v="586"/>
    <n v="586"/>
    <n v="248"/>
    <n v="2544"/>
    <n v="83"/>
    <n v="3441"/>
    <n v="0"/>
  </r>
  <r>
    <n v="318"/>
    <x v="12"/>
    <x v="9"/>
    <n v="634"/>
    <n v="184"/>
    <n v="22"/>
    <n v="2936"/>
    <n v="537"/>
    <n v="4797"/>
    <n v="0"/>
  </r>
  <r>
    <n v="319"/>
    <x v="13"/>
    <x v="9"/>
    <n v="3135"/>
    <n v="1030"/>
    <n v="892"/>
    <n v="6646"/>
    <n v="918"/>
    <n v="3756"/>
    <n v="5"/>
  </r>
  <r>
    <n v="320"/>
    <x v="14"/>
    <x v="9"/>
    <n v="1599"/>
    <n v="1124"/>
    <n v="393"/>
    <n v="3661"/>
    <n v="1180"/>
    <n v="7434"/>
    <n v="0"/>
  </r>
  <r>
    <n v="321"/>
    <x v="15"/>
    <x v="9"/>
    <n v="34"/>
    <n v="107"/>
    <n v="0"/>
    <n v="31"/>
    <n v="0"/>
    <n v="18"/>
    <n v="0"/>
  </r>
  <r>
    <n v="322"/>
    <x v="16"/>
    <x v="9"/>
    <n v="149"/>
    <n v="37"/>
    <n v="0"/>
    <n v="48"/>
    <n v="0"/>
    <n v="24"/>
    <n v="0"/>
  </r>
  <r>
    <n v="323"/>
    <x v="17"/>
    <x v="9"/>
    <n v="92"/>
    <n v="0"/>
    <n v="0"/>
    <n v="75"/>
    <n v="0"/>
    <n v="3"/>
    <n v="0"/>
  </r>
  <r>
    <n v="324"/>
    <x v="18"/>
    <x v="9"/>
    <n v="16"/>
    <n v="6"/>
    <n v="0"/>
    <n v="13"/>
    <n v="3"/>
    <n v="1"/>
    <n v="0"/>
  </r>
  <r>
    <n v="325"/>
    <x v="19"/>
    <x v="9"/>
    <n v="1025"/>
    <n v="912"/>
    <n v="388"/>
    <n v="2905"/>
    <n v="232"/>
    <n v="2067"/>
    <n v="5"/>
  </r>
  <r>
    <n v="326"/>
    <x v="20"/>
    <x v="9"/>
    <n v="546"/>
    <n v="576"/>
    <n v="121"/>
    <n v="349"/>
    <n v="38"/>
    <n v="1163"/>
    <n v="0"/>
  </r>
  <r>
    <n v="327"/>
    <x v="21"/>
    <x v="9"/>
    <n v="1571"/>
    <n v="2477"/>
    <n v="462"/>
    <n v="2339"/>
    <n v="23"/>
    <n v="11145"/>
    <n v="0"/>
  </r>
  <r>
    <n v="328"/>
    <x v="22"/>
    <x v="9"/>
    <n v="18"/>
    <n v="6"/>
    <n v="1"/>
    <n v="11"/>
    <n v="0"/>
    <n v="3"/>
    <n v="0"/>
  </r>
  <r>
    <n v="329"/>
    <x v="23"/>
    <x v="9"/>
    <n v="686"/>
    <n v="1464"/>
    <n v="165"/>
    <n v="1405"/>
    <n v="638"/>
    <n v="1570"/>
    <n v="0"/>
  </r>
  <r>
    <n v="330"/>
    <x v="24"/>
    <x v="9"/>
    <n v="238"/>
    <n v="91"/>
    <n v="25"/>
    <n v="376"/>
    <n v="9"/>
    <n v="937"/>
    <n v="0"/>
  </r>
  <r>
    <n v="331"/>
    <x v="25"/>
    <x v="9"/>
    <n v="1563"/>
    <n v="5468"/>
    <n v="2217"/>
    <n v="2793"/>
    <n v="11"/>
    <n v="7978"/>
    <n v="0"/>
  </r>
  <r>
    <n v="332"/>
    <x v="26"/>
    <x v="9"/>
    <n v="121"/>
    <n v="249"/>
    <n v="75"/>
    <n v="125"/>
    <n v="165"/>
    <n v="334"/>
    <n v="0"/>
  </r>
  <r>
    <n v="333"/>
    <x v="27"/>
    <x v="9"/>
    <n v="2311"/>
    <n v="2764"/>
    <n v="507"/>
    <n v="2465"/>
    <n v="163"/>
    <n v="17796"/>
    <n v="8"/>
  </r>
  <r>
    <n v="334"/>
    <x v="28"/>
    <x v="9"/>
    <n v="24"/>
    <n v="8"/>
    <n v="0"/>
    <n v="31"/>
    <n v="10"/>
    <n v="9"/>
    <n v="0"/>
  </r>
  <r>
    <n v="335"/>
    <x v="29"/>
    <x v="9"/>
    <n v="31"/>
    <n v="28"/>
    <n v="5"/>
    <n v="29"/>
    <n v="4"/>
    <n v="41"/>
    <n v="0"/>
  </r>
  <r>
    <n v="336"/>
    <x v="30"/>
    <x v="9"/>
    <n v="3"/>
    <n v="10"/>
    <n v="0"/>
    <n v="11"/>
    <n v="2"/>
    <n v="3"/>
    <n v="0"/>
  </r>
  <r>
    <n v="337"/>
    <x v="31"/>
    <x v="9"/>
    <n v="1"/>
    <n v="2"/>
    <n v="0"/>
    <n v="2"/>
    <n v="0"/>
    <n v="3"/>
    <n v="0"/>
  </r>
  <r>
    <n v="338"/>
    <x v="32"/>
    <x v="9"/>
    <n v="0"/>
    <n v="0"/>
    <n v="0"/>
    <n v="0"/>
    <n v="0"/>
    <n v="0"/>
    <n v="0"/>
  </r>
  <r>
    <n v="339"/>
    <x v="33"/>
    <x v="9"/>
    <n v="3"/>
    <n v="14"/>
    <n v="1"/>
    <n v="46"/>
    <n v="22"/>
    <n v="7"/>
    <n v="0"/>
  </r>
  <r>
    <n v="340"/>
    <x v="0"/>
    <x v="10"/>
    <n v="1442"/>
    <n v="1612"/>
    <n v="599"/>
    <n v="0"/>
    <n v="3658"/>
    <n v="13376"/>
    <n v="497"/>
  </r>
  <r>
    <n v="341"/>
    <x v="1"/>
    <x v="10"/>
    <n v="42"/>
    <n v="60"/>
    <n v="0"/>
    <n v="0"/>
    <n v="0"/>
    <n v="18"/>
    <n v="0"/>
  </r>
  <r>
    <n v="342"/>
    <x v="2"/>
    <x v="10"/>
    <n v="1700"/>
    <n v="3192"/>
    <n v="121"/>
    <n v="0"/>
    <n v="8"/>
    <n v="5246"/>
    <n v="21"/>
  </r>
  <r>
    <n v="343"/>
    <x v="3"/>
    <x v="10"/>
    <n v="934"/>
    <n v="3050"/>
    <n v="1413"/>
    <n v="0"/>
    <n v="11"/>
    <n v="2607"/>
    <n v="23"/>
  </r>
  <r>
    <n v="344"/>
    <x v="4"/>
    <x v="10"/>
    <n v="1053"/>
    <n v="365"/>
    <n v="104"/>
    <n v="0"/>
    <n v="174"/>
    <n v="834"/>
    <n v="15"/>
  </r>
  <r>
    <n v="345"/>
    <x v="5"/>
    <x v="10"/>
    <n v="29"/>
    <n v="17"/>
    <n v="1"/>
    <n v="0"/>
    <n v="12"/>
    <n v="18"/>
    <n v="18"/>
  </r>
  <r>
    <n v="346"/>
    <x v="6"/>
    <x v="10"/>
    <n v="439"/>
    <n v="1442"/>
    <n v="30"/>
    <n v="0"/>
    <n v="93"/>
    <n v="6052"/>
    <n v="46"/>
  </r>
  <r>
    <n v="347"/>
    <x v="7"/>
    <x v="10"/>
    <n v="733"/>
    <n v="733"/>
    <n v="255"/>
    <n v="0"/>
    <n v="490"/>
    <n v="2740"/>
    <n v="57"/>
  </r>
  <r>
    <n v="348"/>
    <x v="8"/>
    <x v="10"/>
    <n v="168"/>
    <n v="191"/>
    <n v="4"/>
    <n v="0"/>
    <n v="62"/>
    <n v="239"/>
    <n v="2"/>
  </r>
  <r>
    <n v="349"/>
    <x v="9"/>
    <x v="10"/>
    <n v="277"/>
    <n v="1023"/>
    <n v="11"/>
    <n v="0"/>
    <n v="350"/>
    <n v="286"/>
    <n v="1"/>
  </r>
  <r>
    <n v="350"/>
    <x v="10"/>
    <x v="10"/>
    <n v="784"/>
    <n v="660"/>
    <n v="282"/>
    <n v="0"/>
    <n v="7"/>
    <n v="659"/>
    <n v="15"/>
  </r>
  <r>
    <n v="351"/>
    <x v="11"/>
    <x v="10"/>
    <n v="636"/>
    <n v="715"/>
    <n v="267"/>
    <n v="0"/>
    <n v="81"/>
    <n v="3712"/>
    <n v="351"/>
  </r>
  <r>
    <n v="352"/>
    <x v="12"/>
    <x v="10"/>
    <n v="1132"/>
    <n v="221"/>
    <n v="15"/>
    <n v="0"/>
    <n v="573"/>
    <n v="5377"/>
    <n v="197"/>
  </r>
  <r>
    <n v="353"/>
    <x v="13"/>
    <x v="10"/>
    <n v="3406"/>
    <n v="1088"/>
    <n v="811"/>
    <n v="0"/>
    <n v="762"/>
    <n v="3732"/>
    <n v="24"/>
  </r>
  <r>
    <n v="354"/>
    <x v="14"/>
    <x v="10"/>
    <n v="1701"/>
    <n v="1252"/>
    <n v="339"/>
    <n v="0"/>
    <n v="1071"/>
    <n v="7136"/>
    <n v="390"/>
  </r>
  <r>
    <n v="355"/>
    <x v="15"/>
    <x v="10"/>
    <n v="53"/>
    <n v="116"/>
    <n v="1"/>
    <n v="0"/>
    <n v="0"/>
    <n v="39"/>
    <n v="0"/>
  </r>
  <r>
    <n v="356"/>
    <x v="16"/>
    <x v="10"/>
    <n v="130"/>
    <n v="37"/>
    <n v="1"/>
    <n v="0"/>
    <n v="1"/>
    <n v="21"/>
    <n v="2"/>
  </r>
  <r>
    <n v="357"/>
    <x v="17"/>
    <x v="10"/>
    <n v="77"/>
    <n v="0"/>
    <n v="0"/>
    <n v="0"/>
    <n v="1"/>
    <n v="9"/>
    <n v="8"/>
  </r>
  <r>
    <n v="358"/>
    <x v="18"/>
    <x v="10"/>
    <n v="23"/>
    <n v="3"/>
    <n v="0"/>
    <n v="0"/>
    <n v="0"/>
    <n v="1"/>
    <n v="2"/>
  </r>
  <r>
    <n v="359"/>
    <x v="19"/>
    <x v="10"/>
    <n v="1112"/>
    <n v="1008"/>
    <n v="465"/>
    <n v="0"/>
    <n v="235"/>
    <n v="2320"/>
    <n v="23"/>
  </r>
  <r>
    <n v="360"/>
    <x v="20"/>
    <x v="10"/>
    <n v="479"/>
    <n v="517"/>
    <n v="143"/>
    <n v="0"/>
    <n v="31"/>
    <n v="1136"/>
    <n v="50"/>
  </r>
  <r>
    <n v="361"/>
    <x v="21"/>
    <x v="10"/>
    <n v="1800"/>
    <n v="2713"/>
    <n v="514"/>
    <n v="0"/>
    <n v="9"/>
    <n v="12218"/>
    <n v="81"/>
  </r>
  <r>
    <n v="362"/>
    <x v="22"/>
    <x v="10"/>
    <n v="16"/>
    <n v="10"/>
    <n v="0"/>
    <n v="0"/>
    <n v="0"/>
    <n v="4"/>
    <n v="1"/>
  </r>
  <r>
    <n v="363"/>
    <x v="23"/>
    <x v="10"/>
    <n v="677"/>
    <n v="1743"/>
    <n v="152"/>
    <n v="0"/>
    <n v="464"/>
    <n v="1812"/>
    <n v="420"/>
  </r>
  <r>
    <n v="364"/>
    <x v="34"/>
    <x v="10"/>
    <n v="0"/>
    <n v="0"/>
    <n v="0"/>
    <n v="0"/>
    <n v="0"/>
    <n v="0"/>
    <n v="0"/>
  </r>
  <r>
    <n v="365"/>
    <x v="24"/>
    <x v="10"/>
    <n v="205"/>
    <n v="116"/>
    <n v="30"/>
    <n v="0"/>
    <n v="9"/>
    <n v="702"/>
    <n v="2"/>
  </r>
  <r>
    <n v="366"/>
    <x v="25"/>
    <x v="10"/>
    <n v="2042"/>
    <n v="7525"/>
    <n v="2322"/>
    <n v="0"/>
    <n v="3"/>
    <n v="7121"/>
    <n v="43"/>
  </r>
  <r>
    <n v="367"/>
    <x v="26"/>
    <x v="10"/>
    <n v="129"/>
    <n v="283"/>
    <n v="83"/>
    <n v="0"/>
    <n v="72"/>
    <n v="307"/>
    <n v="3"/>
  </r>
  <r>
    <n v="368"/>
    <x v="27"/>
    <x v="10"/>
    <n v="2363"/>
    <n v="3711"/>
    <n v="510"/>
    <n v="0"/>
    <n v="200"/>
    <n v="19772"/>
    <n v="96"/>
  </r>
  <r>
    <n v="369"/>
    <x v="28"/>
    <x v="10"/>
    <n v="13"/>
    <n v="12"/>
    <n v="0"/>
    <n v="0"/>
    <n v="3"/>
    <n v="5"/>
    <n v="3"/>
  </r>
  <r>
    <n v="370"/>
    <x v="29"/>
    <x v="10"/>
    <n v="27"/>
    <n v="46"/>
    <n v="2"/>
    <n v="0"/>
    <n v="12"/>
    <n v="46"/>
    <n v="1"/>
  </r>
  <r>
    <n v="371"/>
    <x v="35"/>
    <x v="10"/>
    <n v="4"/>
    <n v="8"/>
    <n v="0"/>
    <n v="0"/>
    <n v="0"/>
    <n v="3"/>
    <n v="1"/>
  </r>
  <r>
    <n v="372"/>
    <x v="31"/>
    <x v="10"/>
    <n v="1"/>
    <n v="2"/>
    <n v="0"/>
    <n v="0"/>
    <n v="0"/>
    <n v="2"/>
    <n v="6"/>
  </r>
  <r>
    <n v="373"/>
    <x v="36"/>
    <x v="10"/>
    <n v="572"/>
    <n v="2085"/>
    <n v="142"/>
    <n v="0"/>
    <n v="162"/>
    <n v="1575"/>
    <n v="33"/>
  </r>
  <r>
    <n v="374"/>
    <x v="32"/>
    <x v="10"/>
    <n v="0"/>
    <n v="0"/>
    <n v="0"/>
    <n v="0"/>
    <n v="0"/>
    <n v="0"/>
    <n v="0"/>
  </r>
  <r>
    <n v="375"/>
    <x v="33"/>
    <x v="10"/>
    <n v="7"/>
    <n v="9"/>
    <n v="1"/>
    <n v="0"/>
    <n v="16"/>
    <n v="10"/>
    <n v="3"/>
  </r>
  <r>
    <n v="376"/>
    <x v="0"/>
    <x v="11"/>
    <n v="1341"/>
    <n v="1403"/>
    <n v="504"/>
    <n v="4816"/>
    <n v="3714"/>
    <n v="13389"/>
    <n v="472"/>
  </r>
  <r>
    <n v="377"/>
    <x v="1"/>
    <x v="11"/>
    <n v="46"/>
    <n v="58"/>
    <n v="1"/>
    <n v="67"/>
    <n v="2"/>
    <n v="26"/>
    <n v="1"/>
  </r>
  <r>
    <n v="378"/>
    <x v="2"/>
    <x v="11"/>
    <n v="1716"/>
    <n v="3360"/>
    <n v="140"/>
    <n v="1840"/>
    <n v="5"/>
    <n v="6407"/>
    <n v="30"/>
  </r>
  <r>
    <n v="379"/>
    <x v="3"/>
    <x v="11"/>
    <n v="927"/>
    <n v="3789"/>
    <n v="1275"/>
    <n v="118"/>
    <n v="37"/>
    <n v="3686"/>
    <n v="35"/>
  </r>
  <r>
    <n v="380"/>
    <x v="4"/>
    <x v="11"/>
    <n v="1034"/>
    <n v="350"/>
    <n v="81"/>
    <n v="1601"/>
    <n v="162"/>
    <n v="980"/>
    <n v="5"/>
  </r>
  <r>
    <n v="381"/>
    <x v="5"/>
    <x v="11"/>
    <n v="55"/>
    <n v="16"/>
    <n v="0"/>
    <n v="49"/>
    <n v="16"/>
    <n v="24"/>
    <n v="40"/>
  </r>
  <r>
    <n v="382"/>
    <x v="6"/>
    <x v="11"/>
    <n v="473"/>
    <n v="1527"/>
    <n v="21"/>
    <n v="745"/>
    <n v="93"/>
    <n v="6658"/>
    <n v="44"/>
  </r>
  <r>
    <n v="383"/>
    <x v="7"/>
    <x v="11"/>
    <n v="668"/>
    <n v="900"/>
    <n v="258"/>
    <n v="525"/>
    <n v="434"/>
    <n v="3137"/>
    <n v="69"/>
  </r>
  <r>
    <n v="384"/>
    <x v="8"/>
    <x v="11"/>
    <n v="183"/>
    <n v="152"/>
    <n v="2"/>
    <n v="250"/>
    <n v="68"/>
    <n v="251"/>
    <n v="6"/>
  </r>
  <r>
    <n v="385"/>
    <x v="9"/>
    <x v="11"/>
    <n v="303"/>
    <n v="1041"/>
    <n v="8"/>
    <n v="1322"/>
    <n v="347"/>
    <n v="301"/>
    <n v="3"/>
  </r>
  <r>
    <n v="386"/>
    <x v="10"/>
    <x v="11"/>
    <n v="812"/>
    <n v="786"/>
    <n v="302"/>
    <n v="284"/>
    <n v="10"/>
    <n v="1261"/>
    <n v="12"/>
  </r>
  <r>
    <n v="387"/>
    <x v="11"/>
    <x v="11"/>
    <n v="621"/>
    <n v="1070"/>
    <n v="218"/>
    <n v="2978"/>
    <n v="100"/>
    <n v="3684"/>
    <n v="335"/>
  </r>
  <r>
    <n v="388"/>
    <x v="12"/>
    <x v="11"/>
    <n v="1019"/>
    <n v="214"/>
    <n v="32"/>
    <n v="3735"/>
    <n v="498"/>
    <n v="5216"/>
    <n v="210"/>
  </r>
  <r>
    <n v="389"/>
    <x v="13"/>
    <x v="11"/>
    <n v="3425"/>
    <n v="1127"/>
    <n v="743"/>
    <n v="6655"/>
    <n v="774"/>
    <n v="3988"/>
    <n v="13"/>
  </r>
  <r>
    <n v="390"/>
    <x v="14"/>
    <x v="11"/>
    <n v="1839"/>
    <n v="1140"/>
    <n v="329"/>
    <n v="3935"/>
    <n v="1294"/>
    <n v="7415"/>
    <n v="366"/>
  </r>
  <r>
    <n v="391"/>
    <x v="15"/>
    <x v="11"/>
    <n v="63"/>
    <n v="133"/>
    <n v="0"/>
    <n v="49"/>
    <n v="1"/>
    <n v="43"/>
    <n v="15"/>
  </r>
  <r>
    <n v="392"/>
    <x v="16"/>
    <x v="11"/>
    <n v="164"/>
    <n v="24"/>
    <n v="1"/>
    <n v="43"/>
    <n v="0"/>
    <n v="16"/>
    <n v="7"/>
  </r>
  <r>
    <n v="393"/>
    <x v="17"/>
    <x v="11"/>
    <n v="103"/>
    <n v="3"/>
    <n v="0"/>
    <n v="85"/>
    <n v="0"/>
    <n v="8"/>
    <n v="0"/>
  </r>
  <r>
    <n v="394"/>
    <x v="18"/>
    <x v="11"/>
    <n v="21"/>
    <n v="10"/>
    <n v="0"/>
    <n v="16"/>
    <n v="0"/>
    <n v="0"/>
    <n v="4"/>
  </r>
  <r>
    <n v="395"/>
    <x v="19"/>
    <x v="11"/>
    <n v="1458"/>
    <n v="1364"/>
    <n v="525"/>
    <n v="4187"/>
    <n v="304"/>
    <n v="2638"/>
    <n v="24"/>
  </r>
  <r>
    <n v="396"/>
    <x v="20"/>
    <x v="11"/>
    <n v="680"/>
    <n v="689"/>
    <n v="118"/>
    <n v="340"/>
    <n v="31"/>
    <n v="1293"/>
    <n v="86"/>
  </r>
  <r>
    <n v="397"/>
    <x v="21"/>
    <x v="11"/>
    <n v="2049"/>
    <n v="2697"/>
    <n v="478"/>
    <n v="2352"/>
    <n v="18"/>
    <n v="13312"/>
    <n v="99"/>
  </r>
  <r>
    <n v="398"/>
    <x v="22"/>
    <x v="11"/>
    <n v="34"/>
    <n v="10"/>
    <n v="1"/>
    <n v="19"/>
    <n v="0"/>
    <n v="4"/>
    <n v="0"/>
  </r>
  <r>
    <n v="399"/>
    <x v="23"/>
    <x v="11"/>
    <n v="737"/>
    <n v="1693"/>
    <n v="110"/>
    <n v="1494"/>
    <n v="382"/>
    <n v="1965"/>
    <n v="500"/>
  </r>
  <r>
    <n v="400"/>
    <x v="34"/>
    <x v="11"/>
    <n v="0"/>
    <n v="0"/>
    <n v="0"/>
    <n v="0"/>
    <n v="0"/>
    <n v="0"/>
    <n v="0"/>
  </r>
  <r>
    <n v="401"/>
    <x v="24"/>
    <x v="11"/>
    <n v="229"/>
    <n v="114"/>
    <n v="37"/>
    <n v="314"/>
    <n v="7"/>
    <n v="858"/>
    <n v="0"/>
  </r>
  <r>
    <n v="402"/>
    <x v="25"/>
    <x v="11"/>
    <n v="1963"/>
    <n v="7910"/>
    <n v="2244"/>
    <n v="3247"/>
    <n v="8"/>
    <n v="7661"/>
    <n v="31"/>
  </r>
  <r>
    <n v="403"/>
    <x v="26"/>
    <x v="11"/>
    <n v="148"/>
    <n v="256"/>
    <n v="71"/>
    <n v="139"/>
    <n v="73"/>
    <n v="368"/>
    <n v="12"/>
  </r>
  <r>
    <n v="404"/>
    <x v="27"/>
    <x v="11"/>
    <n v="2046"/>
    <n v="4168"/>
    <n v="593"/>
    <n v="3345"/>
    <n v="556"/>
    <n v="19865"/>
    <n v="109"/>
  </r>
  <r>
    <n v="405"/>
    <x v="28"/>
    <x v="11"/>
    <n v="12"/>
    <n v="7"/>
    <n v="2"/>
    <n v="10"/>
    <n v="4"/>
    <n v="5"/>
    <n v="2"/>
  </r>
  <r>
    <n v="406"/>
    <x v="29"/>
    <x v="11"/>
    <n v="27"/>
    <n v="66"/>
    <n v="5"/>
    <n v="45"/>
    <n v="25"/>
    <n v="73"/>
    <n v="0"/>
  </r>
  <r>
    <n v="407"/>
    <x v="35"/>
    <x v="11"/>
    <n v="3"/>
    <n v="9"/>
    <n v="0"/>
    <n v="2"/>
    <n v="0"/>
    <n v="0"/>
    <n v="2"/>
  </r>
  <r>
    <n v="408"/>
    <x v="31"/>
    <x v="11"/>
    <n v="5"/>
    <n v="0"/>
    <n v="0"/>
    <n v="0"/>
    <n v="0"/>
    <n v="3"/>
    <n v="3"/>
  </r>
  <r>
    <n v="409"/>
    <x v="36"/>
    <x v="11"/>
    <n v="706"/>
    <n v="2160"/>
    <n v="134"/>
    <n v="727"/>
    <n v="208"/>
    <n v="1985"/>
    <n v="24"/>
  </r>
  <r>
    <n v="410"/>
    <x v="32"/>
    <x v="11"/>
    <n v="0"/>
    <n v="0"/>
    <n v="0"/>
    <n v="1"/>
    <n v="0"/>
    <n v="1"/>
    <n v="0"/>
  </r>
  <r>
    <n v="411"/>
    <x v="33"/>
    <x v="11"/>
    <n v="13"/>
    <n v="16"/>
    <n v="0"/>
    <n v="9"/>
    <n v="2"/>
    <n v="6"/>
    <n v="4"/>
  </r>
  <r>
    <n v="412"/>
    <x v="0"/>
    <x v="12"/>
    <n v="1635"/>
    <n v="1595"/>
    <n v="492"/>
    <n v="6930"/>
    <n v="4702"/>
    <n v="15084"/>
    <n v="489"/>
  </r>
  <r>
    <n v="413"/>
    <x v="1"/>
    <x v="12"/>
    <n v="75"/>
    <n v="86"/>
    <n v="0"/>
    <n v="93"/>
    <n v="3"/>
    <n v="29"/>
    <n v="2"/>
  </r>
  <r>
    <n v="414"/>
    <x v="2"/>
    <x v="12"/>
    <n v="1937"/>
    <n v="4222"/>
    <n v="170"/>
    <n v="2409"/>
    <n v="14"/>
    <n v="8636"/>
    <n v="18"/>
  </r>
  <r>
    <n v="415"/>
    <x v="3"/>
    <x v="12"/>
    <n v="1128"/>
    <n v="4419"/>
    <n v="1182"/>
    <n v="331"/>
    <n v="52"/>
    <n v="4533"/>
    <n v="64"/>
  </r>
  <r>
    <n v="416"/>
    <x v="4"/>
    <x v="12"/>
    <n v="1380"/>
    <n v="1881"/>
    <n v="109"/>
    <n v="2261"/>
    <n v="180"/>
    <n v="1181"/>
    <n v="8"/>
  </r>
  <r>
    <n v="417"/>
    <x v="5"/>
    <x v="12"/>
    <n v="86"/>
    <n v="70"/>
    <n v="0"/>
    <n v="162"/>
    <n v="54"/>
    <n v="40"/>
    <n v="28"/>
  </r>
  <r>
    <n v="418"/>
    <x v="6"/>
    <x v="12"/>
    <n v="732"/>
    <n v="2230"/>
    <n v="29"/>
    <n v="1243"/>
    <n v="77"/>
    <n v="7812"/>
    <n v="76"/>
  </r>
  <r>
    <n v="419"/>
    <x v="7"/>
    <x v="12"/>
    <n v="971"/>
    <n v="1957"/>
    <n v="263"/>
    <n v="1560"/>
    <n v="643"/>
    <n v="3617"/>
    <n v="63"/>
  </r>
  <r>
    <n v="420"/>
    <x v="8"/>
    <x v="12"/>
    <n v="250"/>
    <n v="290"/>
    <n v="0"/>
    <n v="493"/>
    <n v="111"/>
    <n v="328"/>
    <n v="4"/>
  </r>
  <r>
    <n v="421"/>
    <x v="9"/>
    <x v="12"/>
    <n v="378"/>
    <n v="949"/>
    <n v="7"/>
    <n v="1389"/>
    <n v="354"/>
    <n v="428"/>
    <n v="1"/>
  </r>
  <r>
    <n v="422"/>
    <x v="10"/>
    <x v="12"/>
    <n v="1204"/>
    <n v="926"/>
    <n v="307"/>
    <n v="524"/>
    <n v="18"/>
    <n v="2084"/>
    <n v="11"/>
  </r>
  <r>
    <n v="423"/>
    <x v="11"/>
    <x v="12"/>
    <n v="1030"/>
    <n v="1359"/>
    <n v="277"/>
    <n v="3913"/>
    <n v="137"/>
    <n v="3276"/>
    <n v="340"/>
  </r>
  <r>
    <n v="424"/>
    <x v="12"/>
    <x v="12"/>
    <n v="1221"/>
    <n v="185"/>
    <n v="21"/>
    <n v="4362"/>
    <n v="404"/>
    <n v="4820"/>
    <n v="180"/>
  </r>
  <r>
    <n v="425"/>
    <x v="13"/>
    <x v="12"/>
    <n v="4335"/>
    <n v="2873"/>
    <n v="776"/>
    <n v="8252"/>
    <n v="736"/>
    <n v="4988"/>
    <n v="22"/>
  </r>
  <r>
    <n v="426"/>
    <x v="14"/>
    <x v="12"/>
    <n v="3063"/>
    <n v="1874"/>
    <n v="320"/>
    <n v="8132"/>
    <n v="2632"/>
    <n v="8542"/>
    <n v="289"/>
  </r>
  <r>
    <n v="427"/>
    <x v="15"/>
    <x v="12"/>
    <n v="72"/>
    <n v="125"/>
    <n v="0"/>
    <n v="59"/>
    <n v="0"/>
    <n v="29"/>
    <n v="0"/>
  </r>
  <r>
    <n v="428"/>
    <x v="16"/>
    <x v="12"/>
    <n v="183"/>
    <n v="33"/>
    <n v="2"/>
    <n v="98"/>
    <n v="0"/>
    <n v="23"/>
    <n v="4"/>
  </r>
  <r>
    <n v="429"/>
    <x v="17"/>
    <x v="12"/>
    <n v="89"/>
    <n v="2"/>
    <n v="0"/>
    <n v="81"/>
    <n v="0"/>
    <n v="5"/>
    <n v="0"/>
  </r>
  <r>
    <n v="430"/>
    <x v="18"/>
    <x v="12"/>
    <n v="31"/>
    <n v="11"/>
    <n v="1"/>
    <n v="18"/>
    <n v="1"/>
    <n v="4"/>
    <n v="1"/>
  </r>
  <r>
    <n v="431"/>
    <x v="19"/>
    <x v="12"/>
    <n v="1832"/>
    <n v="2067"/>
    <n v="395"/>
    <n v="4618"/>
    <n v="426"/>
    <n v="2792"/>
    <n v="27"/>
  </r>
  <r>
    <n v="432"/>
    <x v="20"/>
    <x v="12"/>
    <n v="888"/>
    <n v="987"/>
    <n v="126"/>
    <n v="1045"/>
    <n v="67"/>
    <n v="1741"/>
    <n v="137"/>
  </r>
  <r>
    <n v="433"/>
    <x v="21"/>
    <x v="12"/>
    <n v="3285"/>
    <n v="4047"/>
    <n v="453"/>
    <n v="4829"/>
    <n v="25"/>
    <n v="15094"/>
    <n v="74"/>
  </r>
  <r>
    <n v="434"/>
    <x v="22"/>
    <x v="12"/>
    <n v="43"/>
    <n v="16"/>
    <n v="0"/>
    <n v="29"/>
    <n v="0"/>
    <n v="5"/>
    <n v="0"/>
  </r>
  <r>
    <n v="435"/>
    <x v="23"/>
    <x v="12"/>
    <n v="923"/>
    <n v="1516"/>
    <n v="118"/>
    <n v="1271"/>
    <n v="313"/>
    <n v="2471"/>
    <n v="549"/>
  </r>
  <r>
    <n v="436"/>
    <x v="34"/>
    <x v="12"/>
    <n v="0"/>
    <n v="0"/>
    <n v="0"/>
    <n v="0"/>
    <n v="0"/>
    <n v="0"/>
    <n v="0"/>
  </r>
  <r>
    <n v="437"/>
    <x v="24"/>
    <x v="12"/>
    <n v="233"/>
    <n v="124"/>
    <n v="29"/>
    <n v="407"/>
    <n v="7"/>
    <n v="827"/>
    <n v="0"/>
  </r>
  <r>
    <n v="438"/>
    <x v="25"/>
    <x v="12"/>
    <n v="3050"/>
    <n v="9737"/>
    <n v="2335"/>
    <n v="7303"/>
    <n v="25"/>
    <n v="8781"/>
    <n v="37"/>
  </r>
  <r>
    <n v="439"/>
    <x v="26"/>
    <x v="12"/>
    <n v="228"/>
    <n v="633"/>
    <n v="43"/>
    <n v="295"/>
    <n v="72"/>
    <n v="435"/>
    <n v="13"/>
  </r>
  <r>
    <n v="440"/>
    <x v="27"/>
    <x v="12"/>
    <n v="1685"/>
    <n v="3830"/>
    <n v="481"/>
    <n v="4913"/>
    <n v="577"/>
    <n v="18116"/>
    <n v="104"/>
  </r>
  <r>
    <n v="441"/>
    <x v="28"/>
    <x v="12"/>
    <n v="27"/>
    <n v="12"/>
    <n v="1"/>
    <n v="45"/>
    <n v="8"/>
    <n v="9"/>
    <n v="4"/>
  </r>
  <r>
    <n v="442"/>
    <x v="29"/>
    <x v="12"/>
    <n v="45"/>
    <n v="174"/>
    <n v="1"/>
    <n v="143"/>
    <n v="26"/>
    <n v="92"/>
    <n v="6"/>
  </r>
  <r>
    <n v="443"/>
    <x v="35"/>
    <x v="12"/>
    <n v="5"/>
    <n v="11"/>
    <n v="0"/>
    <n v="1"/>
    <n v="1"/>
    <n v="1"/>
    <n v="2"/>
  </r>
  <r>
    <n v="444"/>
    <x v="31"/>
    <x v="12"/>
    <n v="8"/>
    <n v="6"/>
    <n v="0"/>
    <n v="2"/>
    <n v="0"/>
    <n v="2"/>
    <n v="6"/>
  </r>
  <r>
    <n v="445"/>
    <x v="36"/>
    <x v="12"/>
    <n v="1636"/>
    <n v="3609"/>
    <n v="144"/>
    <n v="3515"/>
    <n v="916"/>
    <n v="3033"/>
    <n v="20"/>
  </r>
  <r>
    <n v="446"/>
    <x v="32"/>
    <x v="12"/>
    <n v="2"/>
    <n v="0"/>
    <n v="0"/>
    <n v="1"/>
    <n v="0"/>
    <n v="0"/>
    <n v="0"/>
  </r>
  <r>
    <n v="447"/>
    <x v="33"/>
    <x v="12"/>
    <n v="17"/>
    <n v="25"/>
    <n v="1"/>
    <n v="12"/>
    <n v="8"/>
    <n v="8"/>
    <n v="0"/>
  </r>
  <r>
    <n v="448"/>
    <x v="0"/>
    <x v="13"/>
    <n v="961"/>
    <n v="721"/>
    <n v="468"/>
    <n v="4547"/>
    <n v="1072"/>
    <n v="6362"/>
    <n v="204"/>
  </r>
  <r>
    <n v="449"/>
    <x v="1"/>
    <x v="13"/>
    <n v="83"/>
    <n v="91"/>
    <n v="0"/>
    <n v="121"/>
    <n v="21"/>
    <n v="42"/>
    <n v="0"/>
  </r>
  <r>
    <n v="450"/>
    <x v="2"/>
    <x v="13"/>
    <n v="1980"/>
    <n v="3895"/>
    <n v="92"/>
    <n v="3099"/>
    <n v="458"/>
    <n v="9626"/>
    <n v="29"/>
  </r>
  <r>
    <n v="451"/>
    <x v="3"/>
    <x v="13"/>
    <n v="1127"/>
    <n v="4735"/>
    <n v="2203"/>
    <n v="572"/>
    <n v="271"/>
    <n v="4672"/>
    <n v="31"/>
  </r>
  <r>
    <n v="452"/>
    <x v="4"/>
    <x v="13"/>
    <n v="1436"/>
    <n v="1393"/>
    <n v="8"/>
    <n v="2122"/>
    <n v="649"/>
    <n v="964"/>
    <n v="2"/>
  </r>
  <r>
    <n v="453"/>
    <x v="5"/>
    <x v="13"/>
    <n v="95"/>
    <n v="86"/>
    <n v="0"/>
    <n v="202"/>
    <n v="50"/>
    <n v="35"/>
    <n v="9"/>
  </r>
  <r>
    <n v="454"/>
    <x v="6"/>
    <x v="13"/>
    <n v="841"/>
    <n v="2187"/>
    <n v="53"/>
    <n v="1352"/>
    <n v="405"/>
    <n v="5991"/>
    <n v="45"/>
  </r>
  <r>
    <n v="455"/>
    <x v="7"/>
    <x v="13"/>
    <n v="1174"/>
    <n v="1922"/>
    <n v="13"/>
    <n v="1688"/>
    <n v="599"/>
    <n v="3478"/>
    <n v="43"/>
  </r>
  <r>
    <n v="456"/>
    <x v="8"/>
    <x v="13"/>
    <n v="283"/>
    <n v="227"/>
    <n v="2"/>
    <n v="538"/>
    <n v="159"/>
    <n v="325"/>
    <n v="5"/>
  </r>
  <r>
    <n v="457"/>
    <x v="9"/>
    <x v="13"/>
    <n v="331"/>
    <n v="813"/>
    <n v="1"/>
    <n v="1421"/>
    <n v="242"/>
    <n v="467"/>
    <n v="1"/>
  </r>
  <r>
    <n v="458"/>
    <x v="10"/>
    <x v="13"/>
    <n v="1050"/>
    <n v="885"/>
    <n v="1538"/>
    <n v="440"/>
    <n v="114"/>
    <n v="1462"/>
    <n v="11"/>
  </r>
  <r>
    <n v="459"/>
    <x v="11"/>
    <x v="13"/>
    <n v="1324"/>
    <n v="1457"/>
    <n v="1730"/>
    <n v="5263"/>
    <n v="253"/>
    <n v="3025"/>
    <n v="388"/>
  </r>
  <r>
    <n v="460"/>
    <x v="12"/>
    <x v="13"/>
    <n v="1347"/>
    <n v="143"/>
    <n v="3"/>
    <n v="4367"/>
    <n v="980"/>
    <n v="4919"/>
    <n v="91"/>
  </r>
  <r>
    <n v="461"/>
    <x v="13"/>
    <x v="13"/>
    <n v="5076"/>
    <n v="5688"/>
    <n v="113"/>
    <n v="9609"/>
    <n v="3163"/>
    <n v="6451"/>
    <n v="15"/>
  </r>
  <r>
    <n v="462"/>
    <x v="14"/>
    <x v="13"/>
    <n v="3438"/>
    <n v="2457"/>
    <n v="39"/>
    <n v="10001"/>
    <n v="4052"/>
    <n v="7696"/>
    <n v="202"/>
  </r>
  <r>
    <n v="463"/>
    <x v="15"/>
    <x v="13"/>
    <n v="75"/>
    <n v="121"/>
    <n v="0"/>
    <n v="98"/>
    <n v="5"/>
    <n v="41"/>
    <n v="0"/>
  </r>
  <r>
    <n v="464"/>
    <x v="16"/>
    <x v="13"/>
    <n v="118"/>
    <n v="38"/>
    <n v="1"/>
    <n v="105"/>
    <n v="0"/>
    <n v="42"/>
    <n v="3"/>
  </r>
  <r>
    <n v="465"/>
    <x v="17"/>
    <x v="13"/>
    <n v="120"/>
    <n v="3"/>
    <n v="0"/>
    <n v="97"/>
    <n v="53"/>
    <n v="8"/>
    <n v="0"/>
  </r>
  <r>
    <n v="466"/>
    <x v="18"/>
    <x v="13"/>
    <n v="30"/>
    <n v="13"/>
    <n v="0"/>
    <n v="16"/>
    <n v="5"/>
    <n v="3"/>
    <n v="1"/>
  </r>
  <r>
    <n v="467"/>
    <x v="19"/>
    <x v="13"/>
    <n v="1978"/>
    <n v="2436"/>
    <n v="646"/>
    <n v="5543"/>
    <n v="802"/>
    <n v="3114"/>
    <n v="32"/>
  </r>
  <r>
    <n v="468"/>
    <x v="20"/>
    <x v="13"/>
    <n v="981"/>
    <n v="1176"/>
    <n v="5"/>
    <n v="1113"/>
    <n v="344"/>
    <n v="1681"/>
    <n v="63"/>
  </r>
  <r>
    <n v="469"/>
    <x v="21"/>
    <x v="13"/>
    <n v="3759"/>
    <n v="4421"/>
    <n v="12"/>
    <n v="5999"/>
    <n v="727"/>
    <n v="15905"/>
    <n v="78"/>
  </r>
  <r>
    <n v="470"/>
    <x v="22"/>
    <x v="13"/>
    <n v="47"/>
    <n v="12"/>
    <n v="0"/>
    <n v="34"/>
    <n v="14"/>
    <n v="5"/>
    <n v="0"/>
  </r>
  <r>
    <n v="471"/>
    <x v="23"/>
    <x v="13"/>
    <n v="455"/>
    <n v="1502"/>
    <n v="292"/>
    <n v="1102"/>
    <n v="46"/>
    <n v="2103"/>
    <n v="471"/>
  </r>
  <r>
    <n v="472"/>
    <x v="34"/>
    <x v="13"/>
    <n v="979"/>
    <n v="711"/>
    <n v="563"/>
    <n v="3188"/>
    <n v="620"/>
    <n v="6369"/>
    <n v="192"/>
  </r>
  <r>
    <n v="473"/>
    <x v="24"/>
    <x v="13"/>
    <n v="239"/>
    <n v="102"/>
    <n v="1"/>
    <n v="492"/>
    <n v="82"/>
    <n v="702"/>
    <n v="0"/>
  </r>
  <r>
    <n v="474"/>
    <x v="25"/>
    <x v="13"/>
    <n v="3467"/>
    <n v="10626"/>
    <n v="2133"/>
    <n v="8605"/>
    <n v="4435"/>
    <n v="10471"/>
    <n v="37"/>
  </r>
  <r>
    <n v="475"/>
    <x v="26"/>
    <x v="13"/>
    <n v="270"/>
    <n v="275"/>
    <n v="104"/>
    <n v="343"/>
    <n v="22"/>
    <n v="301"/>
    <n v="19"/>
  </r>
  <r>
    <n v="476"/>
    <x v="27"/>
    <x v="13"/>
    <n v="1466"/>
    <n v="4976"/>
    <n v="1"/>
    <n v="5670"/>
    <n v="1045"/>
    <n v="23278"/>
    <n v="80"/>
  </r>
  <r>
    <n v="477"/>
    <x v="28"/>
    <x v="13"/>
    <n v="32"/>
    <n v="17"/>
    <n v="0"/>
    <n v="41"/>
    <n v="18"/>
    <n v="14"/>
    <n v="1"/>
  </r>
  <r>
    <n v="478"/>
    <x v="29"/>
    <x v="13"/>
    <n v="59"/>
    <n v="133"/>
    <n v="2"/>
    <n v="87"/>
    <n v="31"/>
    <n v="141"/>
    <n v="0"/>
  </r>
  <r>
    <n v="479"/>
    <x v="35"/>
    <x v="13"/>
    <n v="5"/>
    <n v="7"/>
    <n v="0"/>
    <n v="2"/>
    <n v="0"/>
    <n v="6"/>
    <n v="0"/>
  </r>
  <r>
    <n v="480"/>
    <x v="31"/>
    <x v="13"/>
    <n v="2"/>
    <n v="1"/>
    <n v="0"/>
    <n v="3"/>
    <n v="3"/>
    <n v="1"/>
    <n v="8"/>
  </r>
  <r>
    <n v="481"/>
    <x v="36"/>
    <x v="13"/>
    <n v="2096"/>
    <n v="4034"/>
    <n v="13"/>
    <n v="4322"/>
    <n v="1186"/>
    <n v="3173"/>
    <n v="8"/>
  </r>
  <r>
    <n v="482"/>
    <x v="32"/>
    <x v="13"/>
    <n v="1"/>
    <n v="0"/>
    <n v="0"/>
    <n v="1"/>
    <n v="0"/>
    <n v="0"/>
    <n v="0"/>
  </r>
  <r>
    <n v="483"/>
    <x v="33"/>
    <x v="13"/>
    <n v="10"/>
    <n v="7"/>
    <n v="14"/>
    <n v="32"/>
    <n v="12"/>
    <n v="4"/>
    <n v="1"/>
  </r>
  <r>
    <n v="484"/>
    <x v="0"/>
    <x v="14"/>
    <n v="1027"/>
    <n v="684"/>
    <n v="174"/>
    <n v="4616"/>
    <n v="1070"/>
    <n v="6121"/>
    <n v="204"/>
  </r>
  <r>
    <n v="485"/>
    <x v="1"/>
    <x v="14"/>
    <n v="71"/>
    <n v="128"/>
    <n v="0"/>
    <n v="101"/>
    <n v="15"/>
    <n v="66"/>
    <n v="2"/>
  </r>
  <r>
    <n v="486"/>
    <x v="2"/>
    <x v="14"/>
    <n v="1733"/>
    <n v="5039"/>
    <n v="216"/>
    <n v="4293"/>
    <n v="499"/>
    <n v="11225"/>
    <n v="47"/>
  </r>
  <r>
    <n v="487"/>
    <x v="3"/>
    <x v="14"/>
    <n v="1041"/>
    <n v="5158"/>
    <n v="1154"/>
    <n v="198"/>
    <n v="78"/>
    <n v="3792"/>
    <n v="21"/>
  </r>
  <r>
    <n v="488"/>
    <x v="4"/>
    <x v="14"/>
    <n v="1560"/>
    <n v="1354"/>
    <n v="89"/>
    <n v="1868"/>
    <n v="507"/>
    <n v="620"/>
    <n v="4"/>
  </r>
  <r>
    <n v="489"/>
    <x v="5"/>
    <x v="14"/>
    <n v="86"/>
    <n v="70"/>
    <n v="0"/>
    <n v="150"/>
    <n v="58"/>
    <n v="19"/>
    <n v="3"/>
  </r>
  <r>
    <n v="490"/>
    <x v="6"/>
    <x v="14"/>
    <n v="503"/>
    <n v="1569"/>
    <n v="12"/>
    <n v="1164"/>
    <n v="536"/>
    <n v="4133"/>
    <n v="35"/>
  </r>
  <r>
    <n v="491"/>
    <x v="7"/>
    <x v="14"/>
    <n v="1070"/>
    <n v="2336"/>
    <n v="243"/>
    <n v="1886"/>
    <n v="688"/>
    <n v="3525"/>
    <n v="44"/>
  </r>
  <r>
    <n v="492"/>
    <x v="8"/>
    <x v="14"/>
    <n v="244"/>
    <n v="239"/>
    <n v="2"/>
    <n v="434"/>
    <n v="99"/>
    <n v="226"/>
    <n v="6"/>
  </r>
  <r>
    <n v="493"/>
    <x v="9"/>
    <x v="14"/>
    <n v="296"/>
    <n v="1071"/>
    <n v="6"/>
    <n v="1343"/>
    <n v="244"/>
    <n v="400"/>
    <n v="0"/>
  </r>
  <r>
    <n v="494"/>
    <x v="10"/>
    <x v="14"/>
    <n v="1053"/>
    <n v="930"/>
    <n v="267"/>
    <n v="844"/>
    <n v="531"/>
    <n v="1654"/>
    <n v="3"/>
  </r>
  <r>
    <n v="495"/>
    <x v="11"/>
    <x v="14"/>
    <n v="589"/>
    <n v="1611"/>
    <n v="254"/>
    <n v="5112"/>
    <n v="535"/>
    <n v="2732"/>
    <n v="420"/>
  </r>
  <r>
    <n v="496"/>
    <x v="12"/>
    <x v="14"/>
    <n v="1256"/>
    <n v="192"/>
    <n v="8"/>
    <n v="3987"/>
    <n v="1145"/>
    <n v="3668"/>
    <n v="135"/>
  </r>
  <r>
    <n v="497"/>
    <x v="13"/>
    <x v="14"/>
    <n v="4391"/>
    <n v="4547"/>
    <n v="664"/>
    <n v="8049"/>
    <n v="2559"/>
    <n v="5281"/>
    <n v="25"/>
  </r>
  <r>
    <n v="498"/>
    <x v="14"/>
    <x v="14"/>
    <n v="4144"/>
    <n v="5096"/>
    <n v="268"/>
    <n v="11713"/>
    <n v="4751"/>
    <n v="7640"/>
    <n v="381"/>
  </r>
  <r>
    <n v="499"/>
    <x v="15"/>
    <x v="14"/>
    <n v="46"/>
    <n v="94"/>
    <n v="0"/>
    <n v="84"/>
    <n v="2"/>
    <n v="39"/>
    <n v="0"/>
  </r>
  <r>
    <n v="500"/>
    <x v="16"/>
    <x v="14"/>
    <n v="93"/>
    <n v="58"/>
    <n v="1"/>
    <n v="95"/>
    <n v="22"/>
    <n v="44"/>
    <n v="0"/>
  </r>
  <r>
    <n v="501"/>
    <x v="17"/>
    <x v="14"/>
    <n v="58"/>
    <n v="8"/>
    <n v="0"/>
    <n v="75"/>
    <n v="53"/>
    <n v="9"/>
    <n v="0"/>
  </r>
  <r>
    <n v="502"/>
    <x v="18"/>
    <x v="14"/>
    <n v="35"/>
    <n v="30"/>
    <n v="0"/>
    <n v="8"/>
    <n v="6"/>
    <n v="4"/>
    <n v="3"/>
  </r>
  <r>
    <n v="503"/>
    <x v="19"/>
    <x v="14"/>
    <n v="2251"/>
    <n v="2587"/>
    <n v="356"/>
    <n v="6499"/>
    <n v="886"/>
    <n v="3605"/>
    <n v="35"/>
  </r>
  <r>
    <n v="504"/>
    <x v="20"/>
    <x v="14"/>
    <n v="886"/>
    <n v="1253"/>
    <n v="85"/>
    <n v="1123"/>
    <n v="400"/>
    <n v="1583"/>
    <n v="69"/>
  </r>
  <r>
    <n v="505"/>
    <x v="21"/>
    <x v="14"/>
    <n v="3644"/>
    <n v="4167"/>
    <n v="463"/>
    <n v="4813"/>
    <n v="649"/>
    <n v="14383"/>
    <n v="86"/>
  </r>
  <r>
    <n v="506"/>
    <x v="22"/>
    <x v="14"/>
    <n v="5"/>
    <n v="21"/>
    <n v="1"/>
    <n v="21"/>
    <n v="5"/>
    <n v="2"/>
    <n v="0"/>
  </r>
  <r>
    <n v="507"/>
    <x v="23"/>
    <x v="14"/>
    <n v="421"/>
    <n v="1335"/>
    <n v="65"/>
    <n v="1163"/>
    <n v="197"/>
    <n v="1900"/>
    <n v="491"/>
  </r>
  <r>
    <n v="508"/>
    <x v="34"/>
    <x v="14"/>
    <n v="1105"/>
    <n v="648"/>
    <n v="262"/>
    <n v="3608"/>
    <n v="620"/>
    <n v="7329"/>
    <n v="252"/>
  </r>
  <r>
    <n v="509"/>
    <x v="24"/>
    <x v="14"/>
    <n v="213"/>
    <n v="120"/>
    <n v="28"/>
    <n v="352"/>
    <n v="28"/>
    <n v="501"/>
    <n v="2"/>
  </r>
  <r>
    <n v="510"/>
    <x v="25"/>
    <x v="14"/>
    <n v="3025"/>
    <n v="10135"/>
    <n v="2335"/>
    <n v="7885"/>
    <n v="5925"/>
    <n v="8660"/>
    <n v="33"/>
  </r>
  <r>
    <n v="511"/>
    <x v="26"/>
    <x v="14"/>
    <n v="283"/>
    <n v="336"/>
    <n v="54"/>
    <n v="318"/>
    <n v="51"/>
    <n v="407"/>
    <n v="18"/>
  </r>
  <r>
    <n v="512"/>
    <x v="27"/>
    <x v="14"/>
    <n v="1199"/>
    <n v="3938"/>
    <n v="498"/>
    <n v="5069"/>
    <n v="674"/>
    <n v="20163"/>
    <n v="101"/>
  </r>
  <r>
    <n v="513"/>
    <x v="28"/>
    <x v="14"/>
    <n v="36"/>
    <n v="21"/>
    <n v="0"/>
    <n v="57"/>
    <n v="23"/>
    <n v="14"/>
    <n v="0"/>
  </r>
  <r>
    <n v="514"/>
    <x v="29"/>
    <x v="14"/>
    <n v="72"/>
    <n v="165"/>
    <n v="5"/>
    <n v="76"/>
    <n v="22"/>
    <n v="126"/>
    <n v="0"/>
  </r>
  <r>
    <n v="515"/>
    <x v="35"/>
    <x v="14"/>
    <n v="8"/>
    <n v="9"/>
    <n v="1"/>
    <n v="5"/>
    <n v="0"/>
    <n v="2"/>
    <n v="0"/>
  </r>
  <r>
    <n v="516"/>
    <x v="31"/>
    <x v="14"/>
    <n v="5"/>
    <n v="13"/>
    <n v="0"/>
    <n v="7"/>
    <n v="3"/>
    <n v="3"/>
    <n v="0"/>
  </r>
  <r>
    <n v="517"/>
    <x v="36"/>
    <x v="14"/>
    <n v="2199"/>
    <n v="4301"/>
    <n v="122"/>
    <n v="5367"/>
    <n v="1150"/>
    <n v="3521"/>
    <n v="3"/>
  </r>
  <r>
    <n v="518"/>
    <x v="32"/>
    <x v="14"/>
    <n v="0"/>
    <n v="0"/>
    <n v="0"/>
    <n v="6"/>
    <n v="0"/>
    <n v="2"/>
    <n v="0"/>
  </r>
  <r>
    <n v="519"/>
    <x v="33"/>
    <x v="14"/>
    <n v="3"/>
    <n v="14"/>
    <n v="1"/>
    <n v="33"/>
    <n v="10"/>
    <n v="4"/>
    <n v="1"/>
  </r>
  <r>
    <n v="520"/>
    <x v="0"/>
    <x v="15"/>
    <n v="994"/>
    <n v="626"/>
    <n v="193"/>
    <n v="4829"/>
    <n v="1305"/>
    <n v="6461"/>
    <n v="186"/>
  </r>
  <r>
    <n v="521"/>
    <x v="1"/>
    <x v="15"/>
    <n v="92"/>
    <n v="85"/>
    <n v="1"/>
    <n v="109"/>
    <n v="4"/>
    <n v="50"/>
    <n v="0"/>
  </r>
  <r>
    <n v="522"/>
    <x v="2"/>
    <x v="15"/>
    <n v="1779"/>
    <n v="5339"/>
    <n v="157"/>
    <n v="3378"/>
    <n v="677"/>
    <n v="9321"/>
    <n v="65"/>
  </r>
  <r>
    <n v="523"/>
    <x v="3"/>
    <x v="15"/>
    <n v="1008"/>
    <n v="5496"/>
    <n v="987"/>
    <n v="324"/>
    <n v="124"/>
    <n v="3794"/>
    <n v="50"/>
  </r>
  <r>
    <n v="524"/>
    <x v="4"/>
    <x v="15"/>
    <n v="1626"/>
    <n v="1447"/>
    <n v="84"/>
    <n v="1770"/>
    <n v="244"/>
    <n v="622"/>
    <n v="17"/>
  </r>
  <r>
    <n v="525"/>
    <x v="5"/>
    <x v="15"/>
    <n v="61"/>
    <n v="69"/>
    <n v="2"/>
    <n v="143"/>
    <n v="41"/>
    <n v="23"/>
    <n v="3"/>
  </r>
  <r>
    <n v="526"/>
    <x v="6"/>
    <x v="15"/>
    <n v="982"/>
    <n v="2146"/>
    <n v="12"/>
    <n v="1224"/>
    <n v="473"/>
    <n v="3732"/>
    <n v="76"/>
  </r>
  <r>
    <n v="527"/>
    <x v="7"/>
    <x v="15"/>
    <n v="1187"/>
    <n v="2697"/>
    <n v="260"/>
    <n v="1860"/>
    <n v="699"/>
    <n v="3313"/>
    <n v="59"/>
  </r>
  <r>
    <n v="528"/>
    <x v="8"/>
    <x v="15"/>
    <n v="252"/>
    <n v="201"/>
    <n v="3"/>
    <n v="410"/>
    <n v="114"/>
    <n v="214"/>
    <n v="7"/>
  </r>
  <r>
    <n v="529"/>
    <x v="9"/>
    <x v="15"/>
    <n v="256"/>
    <n v="774"/>
    <n v="6"/>
    <n v="1235"/>
    <n v="253"/>
    <n v="342"/>
    <n v="1"/>
  </r>
  <r>
    <n v="530"/>
    <x v="10"/>
    <x v="15"/>
    <n v="1109"/>
    <n v="693"/>
    <n v="278"/>
    <n v="667"/>
    <n v="373"/>
    <n v="1002"/>
    <n v="0"/>
  </r>
  <r>
    <n v="531"/>
    <x v="11"/>
    <x v="15"/>
    <n v="1655"/>
    <n v="1923"/>
    <n v="234"/>
    <n v="5260"/>
    <n v="703"/>
    <n v="2556"/>
    <n v="323"/>
  </r>
  <r>
    <n v="532"/>
    <x v="12"/>
    <x v="15"/>
    <n v="1656"/>
    <n v="166"/>
    <n v="25"/>
    <n v="4029"/>
    <n v="1273"/>
    <n v="3455"/>
    <n v="113"/>
  </r>
  <r>
    <n v="533"/>
    <x v="13"/>
    <x v="15"/>
    <n v="4882"/>
    <n v="4904"/>
    <n v="629"/>
    <n v="8717"/>
    <n v="3128"/>
    <n v="6264"/>
    <n v="20"/>
  </r>
  <r>
    <n v="534"/>
    <x v="14"/>
    <x v="15"/>
    <n v="4189"/>
    <n v="6170"/>
    <n v="248"/>
    <n v="11396"/>
    <n v="4057"/>
    <n v="7215"/>
    <n v="303"/>
  </r>
  <r>
    <n v="535"/>
    <x v="15"/>
    <x v="15"/>
    <n v="55"/>
    <n v="95"/>
    <n v="0"/>
    <n v="65"/>
    <n v="15"/>
    <n v="29"/>
    <n v="0"/>
  </r>
  <r>
    <n v="536"/>
    <x v="16"/>
    <x v="15"/>
    <n v="190"/>
    <n v="51"/>
    <n v="0"/>
    <n v="68"/>
    <n v="20"/>
    <n v="26"/>
    <n v="2"/>
  </r>
  <r>
    <n v="537"/>
    <x v="17"/>
    <x v="15"/>
    <n v="23"/>
    <n v="3"/>
    <n v="0"/>
    <n v="71"/>
    <n v="44"/>
    <n v="19"/>
    <n v="3"/>
  </r>
  <r>
    <n v="538"/>
    <x v="18"/>
    <x v="15"/>
    <n v="26"/>
    <n v="50"/>
    <n v="1"/>
    <n v="14"/>
    <n v="6"/>
    <n v="3"/>
    <n v="0"/>
  </r>
  <r>
    <n v="539"/>
    <x v="19"/>
    <x v="15"/>
    <n v="1983"/>
    <n v="2291"/>
    <n v="397"/>
    <n v="8252"/>
    <n v="979"/>
    <n v="2781"/>
    <n v="38"/>
  </r>
  <r>
    <n v="540"/>
    <x v="20"/>
    <x v="15"/>
    <n v="838"/>
    <n v="1208"/>
    <n v="80"/>
    <n v="1025"/>
    <n v="325"/>
    <n v="1568"/>
    <n v="64"/>
  </r>
  <r>
    <n v="541"/>
    <x v="21"/>
    <x v="15"/>
    <n v="3656"/>
    <n v="4010"/>
    <n v="462"/>
    <n v="4839"/>
    <n v="483"/>
    <n v="13811"/>
    <n v="56"/>
  </r>
  <r>
    <n v="542"/>
    <x v="22"/>
    <x v="15"/>
    <n v="92"/>
    <n v="12"/>
    <n v="0"/>
    <n v="34"/>
    <n v="8"/>
    <n v="2"/>
    <n v="0"/>
  </r>
  <r>
    <n v="543"/>
    <x v="23"/>
    <x v="15"/>
    <n v="319"/>
    <n v="1043"/>
    <n v="58"/>
    <n v="854"/>
    <n v="115"/>
    <n v="1256"/>
    <n v="432"/>
  </r>
  <r>
    <n v="544"/>
    <x v="34"/>
    <x v="15"/>
    <n v="1278"/>
    <n v="987"/>
    <n v="254"/>
    <n v="3767"/>
    <n v="859"/>
    <n v="7202"/>
    <n v="240"/>
  </r>
  <r>
    <n v="545"/>
    <x v="24"/>
    <x v="15"/>
    <n v="207"/>
    <n v="119"/>
    <n v="19"/>
    <n v="214"/>
    <n v="52"/>
    <n v="430"/>
    <n v="0"/>
  </r>
  <r>
    <n v="546"/>
    <x v="25"/>
    <x v="15"/>
    <n v="4816"/>
    <n v="12994"/>
    <n v="2473"/>
    <n v="11335"/>
    <n v="9422"/>
    <n v="11156"/>
    <n v="50"/>
  </r>
  <r>
    <n v="547"/>
    <x v="26"/>
    <x v="15"/>
    <n v="336"/>
    <n v="377"/>
    <n v="57"/>
    <n v="344"/>
    <n v="35"/>
    <n v="392"/>
    <n v="11"/>
  </r>
  <r>
    <n v="548"/>
    <x v="27"/>
    <x v="15"/>
    <n v="1110"/>
    <n v="4494"/>
    <n v="535"/>
    <n v="4177"/>
    <n v="663"/>
    <n v="19302"/>
    <n v="87"/>
  </r>
  <r>
    <n v="549"/>
    <x v="28"/>
    <x v="15"/>
    <n v="30"/>
    <n v="21"/>
    <n v="0"/>
    <n v="46"/>
    <n v="15"/>
    <n v="7"/>
    <n v="0"/>
  </r>
  <r>
    <n v="550"/>
    <x v="29"/>
    <x v="15"/>
    <n v="68"/>
    <n v="112"/>
    <n v="4"/>
    <n v="76"/>
    <n v="26"/>
    <n v="122"/>
    <n v="0"/>
  </r>
  <r>
    <n v="551"/>
    <x v="35"/>
    <x v="15"/>
    <n v="14"/>
    <n v="5"/>
    <n v="0"/>
    <n v="1"/>
    <n v="0"/>
    <n v="6"/>
    <n v="0"/>
  </r>
  <r>
    <n v="552"/>
    <x v="31"/>
    <x v="15"/>
    <n v="12"/>
    <n v="9"/>
    <n v="0"/>
    <n v="4"/>
    <n v="0"/>
    <n v="8"/>
    <n v="4"/>
  </r>
  <r>
    <n v="553"/>
    <x v="36"/>
    <x v="15"/>
    <n v="2155"/>
    <n v="3891"/>
    <n v="162"/>
    <n v="4165"/>
    <n v="796"/>
    <n v="3877"/>
    <n v="4"/>
  </r>
  <r>
    <n v="554"/>
    <x v="32"/>
    <x v="15"/>
    <n v="5"/>
    <n v="0"/>
    <n v="0"/>
    <n v="1"/>
    <n v="0"/>
    <n v="2"/>
    <n v="0"/>
  </r>
  <r>
    <n v="555"/>
    <x v="33"/>
    <x v="15"/>
    <n v="6"/>
    <n v="11"/>
    <n v="0"/>
    <n v="43"/>
    <n v="13"/>
    <n v="15"/>
    <n v="0"/>
  </r>
  <r>
    <n v="556"/>
    <x v="0"/>
    <x v="16"/>
    <n v="988"/>
    <n v="712"/>
    <n v="152"/>
    <n v="5129"/>
    <n v="1998"/>
    <n v="7156"/>
    <n v="121"/>
  </r>
  <r>
    <n v="557"/>
    <x v="1"/>
    <x v="16"/>
    <n v="59"/>
    <n v="74"/>
    <n v="0"/>
    <n v="97"/>
    <n v="5"/>
    <n v="56"/>
    <n v="2"/>
  </r>
  <r>
    <n v="558"/>
    <x v="2"/>
    <x v="16"/>
    <n v="1772"/>
    <n v="5554"/>
    <n v="171"/>
    <n v="3569"/>
    <n v="108"/>
    <n v="9782"/>
    <n v="40"/>
  </r>
  <r>
    <n v="559"/>
    <x v="3"/>
    <x v="16"/>
    <n v="605"/>
    <n v="6182"/>
    <n v="1081"/>
    <n v="197"/>
    <n v="1"/>
    <n v="3776"/>
    <n v="24"/>
  </r>
  <r>
    <n v="560"/>
    <x v="4"/>
    <x v="16"/>
    <n v="1908"/>
    <n v="1457"/>
    <n v="74"/>
    <n v="1899"/>
    <n v="144"/>
    <n v="582"/>
    <n v="16"/>
  </r>
  <r>
    <n v="561"/>
    <x v="5"/>
    <x v="16"/>
    <n v="76"/>
    <n v="61"/>
    <n v="1"/>
    <n v="134"/>
    <n v="31"/>
    <n v="21"/>
    <n v="1"/>
  </r>
  <r>
    <n v="562"/>
    <x v="6"/>
    <x v="16"/>
    <n v="477"/>
    <n v="1259"/>
    <n v="9"/>
    <n v="1058"/>
    <n v="17"/>
    <n v="3223"/>
    <n v="28"/>
  </r>
  <r>
    <n v="563"/>
    <x v="7"/>
    <x v="16"/>
    <n v="1099"/>
    <n v="2949"/>
    <n v="245"/>
    <n v="2031"/>
    <n v="179"/>
    <n v="3326"/>
    <n v="57"/>
  </r>
  <r>
    <n v="564"/>
    <x v="8"/>
    <x v="16"/>
    <n v="249"/>
    <n v="242"/>
    <n v="3"/>
    <n v="397"/>
    <n v="52"/>
    <n v="191"/>
    <n v="8"/>
  </r>
  <r>
    <n v="565"/>
    <x v="9"/>
    <x v="16"/>
    <n v="296"/>
    <n v="931"/>
    <n v="8"/>
    <n v="1417"/>
    <n v="41"/>
    <n v="377"/>
    <n v="0"/>
  </r>
  <r>
    <n v="566"/>
    <x v="10"/>
    <x v="16"/>
    <n v="914"/>
    <n v="1033"/>
    <n v="248"/>
    <n v="748"/>
    <n v="104"/>
    <n v="998"/>
    <n v="4"/>
  </r>
  <r>
    <n v="567"/>
    <x v="11"/>
    <x v="16"/>
    <n v="546"/>
    <n v="967"/>
    <n v="206"/>
    <n v="5763"/>
    <n v="212"/>
    <n v="2332"/>
    <n v="236"/>
  </r>
  <r>
    <n v="568"/>
    <x v="12"/>
    <x v="16"/>
    <n v="2003"/>
    <n v="184"/>
    <n v="12"/>
    <n v="4413"/>
    <n v="421"/>
    <n v="2856"/>
    <n v="21"/>
  </r>
  <r>
    <n v="569"/>
    <x v="13"/>
    <x v="16"/>
    <n v="5562"/>
    <n v="5200"/>
    <n v="632"/>
    <n v="9252"/>
    <n v="277"/>
    <n v="6099"/>
    <n v="27"/>
  </r>
  <r>
    <n v="570"/>
    <x v="14"/>
    <x v="16"/>
    <n v="1933"/>
    <n v="6248"/>
    <n v="233"/>
    <n v="9392"/>
    <n v="919"/>
    <n v="6584"/>
    <n v="248"/>
  </r>
  <r>
    <n v="571"/>
    <x v="15"/>
    <x v="16"/>
    <n v="40"/>
    <n v="70"/>
    <n v="0"/>
    <n v="66"/>
    <n v="8"/>
    <n v="19"/>
    <n v="0"/>
  </r>
  <r>
    <n v="572"/>
    <x v="16"/>
    <x v="16"/>
    <n v="119"/>
    <n v="54"/>
    <n v="1"/>
    <n v="88"/>
    <n v="21"/>
    <n v="20"/>
    <n v="0"/>
  </r>
  <r>
    <n v="573"/>
    <x v="17"/>
    <x v="16"/>
    <n v="25"/>
    <n v="0"/>
    <n v="0"/>
    <n v="64"/>
    <n v="2"/>
    <n v="20"/>
    <n v="0"/>
  </r>
  <r>
    <n v="574"/>
    <x v="18"/>
    <x v="16"/>
    <n v="10"/>
    <n v="7"/>
    <n v="0"/>
    <n v="12"/>
    <n v="0"/>
    <n v="3"/>
    <n v="3"/>
  </r>
  <r>
    <n v="575"/>
    <x v="19"/>
    <x v="16"/>
    <n v="2070"/>
    <n v="2773"/>
    <n v="326"/>
    <n v="9132"/>
    <n v="490"/>
    <n v="2525"/>
    <n v="21"/>
  </r>
  <r>
    <n v="576"/>
    <x v="20"/>
    <x v="16"/>
    <n v="530"/>
    <n v="1099"/>
    <n v="68"/>
    <n v="933"/>
    <n v="22"/>
    <n v="1199"/>
    <n v="7"/>
  </r>
  <r>
    <n v="577"/>
    <x v="21"/>
    <x v="16"/>
    <n v="3305"/>
    <n v="3838"/>
    <n v="457"/>
    <n v="4883"/>
    <n v="24"/>
    <n v="11508"/>
    <n v="86"/>
  </r>
  <r>
    <n v="578"/>
    <x v="22"/>
    <x v="16"/>
    <n v="17"/>
    <n v="27"/>
    <n v="0"/>
    <n v="21"/>
    <n v="7"/>
    <n v="5"/>
    <n v="0"/>
  </r>
  <r>
    <n v="579"/>
    <x v="23"/>
    <x v="16"/>
    <n v="283"/>
    <n v="859"/>
    <n v="48"/>
    <n v="744"/>
    <n v="9"/>
    <n v="984"/>
    <n v="403"/>
  </r>
  <r>
    <n v="580"/>
    <x v="34"/>
    <x v="16"/>
    <n v="552"/>
    <n v="934"/>
    <n v="251"/>
    <n v="4409"/>
    <n v="1160"/>
    <n v="7838"/>
    <n v="79"/>
  </r>
  <r>
    <n v="581"/>
    <x v="24"/>
    <x v="16"/>
    <n v="95"/>
    <n v="90"/>
    <n v="33"/>
    <n v="225"/>
    <n v="9"/>
    <n v="348"/>
    <n v="0"/>
  </r>
  <r>
    <n v="582"/>
    <x v="25"/>
    <x v="16"/>
    <n v="4246"/>
    <n v="14993"/>
    <n v="2524"/>
    <n v="12607"/>
    <n v="91"/>
    <n v="12653"/>
    <n v="25"/>
  </r>
  <r>
    <n v="583"/>
    <x v="26"/>
    <x v="16"/>
    <n v="374"/>
    <n v="371"/>
    <n v="60"/>
    <n v="435"/>
    <n v="4"/>
    <n v="394"/>
    <n v="6"/>
  </r>
  <r>
    <n v="584"/>
    <x v="27"/>
    <x v="16"/>
    <n v="1084"/>
    <n v="4232"/>
    <n v="499"/>
    <n v="3832"/>
    <n v="448"/>
    <n v="16800"/>
    <n v="67"/>
  </r>
  <r>
    <n v="585"/>
    <x v="28"/>
    <x v="16"/>
    <n v="13"/>
    <n v="3"/>
    <n v="1"/>
    <n v="38"/>
    <n v="11"/>
    <n v="4"/>
    <n v="0"/>
  </r>
  <r>
    <n v="586"/>
    <x v="29"/>
    <x v="16"/>
    <n v="65"/>
    <n v="138"/>
    <n v="1"/>
    <n v="100"/>
    <n v="12"/>
    <n v="121"/>
    <n v="0"/>
  </r>
  <r>
    <n v="587"/>
    <x v="35"/>
    <x v="16"/>
    <n v="1"/>
    <n v="0"/>
    <n v="0"/>
    <n v="3"/>
    <n v="0"/>
    <n v="4"/>
    <n v="0"/>
  </r>
  <r>
    <n v="588"/>
    <x v="31"/>
    <x v="16"/>
    <n v="7"/>
    <n v="0"/>
    <n v="0"/>
    <n v="6"/>
    <n v="1"/>
    <n v="5"/>
    <n v="0"/>
  </r>
  <r>
    <n v="589"/>
    <x v="36"/>
    <x v="16"/>
    <n v="1229"/>
    <n v="3783"/>
    <n v="120"/>
    <n v="2874"/>
    <n v="619"/>
    <n v="2735"/>
    <n v="6"/>
  </r>
  <r>
    <n v="590"/>
    <x v="32"/>
    <x v="16"/>
    <n v="0"/>
    <n v="0"/>
    <n v="0"/>
    <n v="0"/>
    <n v="0"/>
    <n v="2"/>
    <n v="0"/>
  </r>
  <r>
    <n v="591"/>
    <x v="33"/>
    <x v="16"/>
    <n v="7"/>
    <n v="9"/>
    <n v="2"/>
    <n v="33"/>
    <n v="4"/>
    <n v="5"/>
    <n v="0"/>
  </r>
  <r>
    <n v="592"/>
    <x v="0"/>
    <x v="17"/>
    <n v="971"/>
    <n v="697"/>
    <n v="140"/>
    <n v="4445"/>
    <n v="1802"/>
    <n v="6831"/>
    <n v="152"/>
  </r>
  <r>
    <n v="593"/>
    <x v="1"/>
    <x v="17"/>
    <n v="67"/>
    <n v="87"/>
    <n v="0"/>
    <n v="103"/>
    <n v="12"/>
    <n v="60"/>
    <n v="0"/>
  </r>
  <r>
    <n v="594"/>
    <x v="2"/>
    <x v="17"/>
    <n v="1648"/>
    <n v="6401"/>
    <n v="173"/>
    <n v="4180"/>
    <n v="171"/>
    <n v="11136"/>
    <n v="37"/>
  </r>
  <r>
    <n v="595"/>
    <x v="3"/>
    <x v="17"/>
    <n v="651"/>
    <n v="7951"/>
    <n v="1107"/>
    <n v="262"/>
    <n v="30"/>
    <n v="2539"/>
    <n v="49"/>
  </r>
  <r>
    <n v="596"/>
    <x v="4"/>
    <x v="17"/>
    <n v="2091"/>
    <n v="1842"/>
    <n v="79"/>
    <n v="1854"/>
    <n v="184"/>
    <n v="503"/>
    <n v="15"/>
  </r>
  <r>
    <n v="597"/>
    <x v="5"/>
    <x v="17"/>
    <n v="61"/>
    <n v="78"/>
    <n v="0"/>
    <n v="125"/>
    <n v="26"/>
    <n v="9"/>
    <n v="7"/>
  </r>
  <r>
    <n v="598"/>
    <x v="6"/>
    <x v="17"/>
    <n v="553"/>
    <n v="1024"/>
    <n v="9"/>
    <n v="1208"/>
    <n v="12"/>
    <n v="2923"/>
    <n v="34"/>
  </r>
  <r>
    <n v="599"/>
    <x v="7"/>
    <x v="17"/>
    <n v="1296"/>
    <n v="3419"/>
    <n v="216"/>
    <n v="2671"/>
    <n v="192"/>
    <n v="4154"/>
    <n v="43"/>
  </r>
  <r>
    <n v="600"/>
    <x v="8"/>
    <x v="17"/>
    <n v="344"/>
    <n v="341"/>
    <n v="4"/>
    <n v="513"/>
    <n v="78"/>
    <n v="183"/>
    <n v="10"/>
  </r>
  <r>
    <n v="601"/>
    <x v="9"/>
    <x v="17"/>
    <n v="320"/>
    <n v="1061"/>
    <n v="8"/>
    <n v="1597"/>
    <n v="25"/>
    <n v="325"/>
    <n v="1"/>
  </r>
  <r>
    <n v="602"/>
    <x v="10"/>
    <x v="17"/>
    <n v="1090"/>
    <n v="1018"/>
    <n v="252"/>
    <n v="1378"/>
    <n v="37"/>
    <n v="1032"/>
    <n v="9"/>
  </r>
  <r>
    <n v="603"/>
    <x v="11"/>
    <x v="17"/>
    <n v="492"/>
    <n v="1240"/>
    <n v="200"/>
    <n v="5204"/>
    <n v="138"/>
    <n v="2053"/>
    <n v="179"/>
  </r>
  <r>
    <n v="604"/>
    <x v="12"/>
    <x v="17"/>
    <n v="1945"/>
    <n v="173"/>
    <n v="17"/>
    <n v="4544"/>
    <n v="461"/>
    <n v="2046"/>
    <n v="4"/>
  </r>
  <r>
    <n v="605"/>
    <x v="13"/>
    <x v="17"/>
    <n v="5433"/>
    <n v="6126"/>
    <n v="547"/>
    <n v="8790"/>
    <n v="270"/>
    <n v="4159"/>
    <n v="40"/>
  </r>
  <r>
    <n v="606"/>
    <x v="14"/>
    <x v="17"/>
    <n v="2142"/>
    <n v="6825"/>
    <n v="200"/>
    <n v="10835"/>
    <n v="1074"/>
    <n v="6862"/>
    <n v="200"/>
  </r>
  <r>
    <n v="607"/>
    <x v="15"/>
    <x v="17"/>
    <n v="52"/>
    <n v="85"/>
    <n v="0"/>
    <n v="56"/>
    <n v="8"/>
    <n v="14"/>
    <n v="0"/>
  </r>
  <r>
    <n v="608"/>
    <x v="16"/>
    <x v="17"/>
    <n v="87"/>
    <n v="58"/>
    <n v="1"/>
    <n v="95"/>
    <n v="16"/>
    <n v="18"/>
    <n v="2"/>
  </r>
  <r>
    <n v="609"/>
    <x v="17"/>
    <x v="17"/>
    <n v="50"/>
    <n v="1"/>
    <n v="0"/>
    <n v="67"/>
    <n v="1"/>
    <n v="6"/>
    <n v="0"/>
  </r>
  <r>
    <n v="610"/>
    <x v="18"/>
    <x v="17"/>
    <n v="10"/>
    <n v="35"/>
    <n v="0"/>
    <n v="10"/>
    <n v="5"/>
    <n v="3"/>
    <n v="1"/>
  </r>
  <r>
    <n v="611"/>
    <x v="19"/>
    <x v="17"/>
    <n v="918"/>
    <n v="2611"/>
    <n v="372"/>
    <n v="9973"/>
    <n v="506"/>
    <n v="1984"/>
    <n v="10"/>
  </r>
  <r>
    <n v="612"/>
    <x v="20"/>
    <x v="17"/>
    <n v="831"/>
    <n v="1266"/>
    <n v="67"/>
    <n v="956"/>
    <n v="19"/>
    <n v="1470"/>
    <n v="6"/>
  </r>
  <r>
    <n v="613"/>
    <x v="21"/>
    <x v="17"/>
    <n v="4335"/>
    <n v="4247"/>
    <n v="404"/>
    <n v="5249"/>
    <n v="34"/>
    <n v="12250"/>
    <n v="62"/>
  </r>
  <r>
    <n v="614"/>
    <x v="22"/>
    <x v="17"/>
    <n v="16"/>
    <n v="7"/>
    <n v="1"/>
    <n v="23"/>
    <n v="5"/>
    <n v="1"/>
    <n v="0"/>
  </r>
  <r>
    <n v="615"/>
    <x v="23"/>
    <x v="17"/>
    <n v="331"/>
    <n v="896"/>
    <n v="55"/>
    <n v="814"/>
    <n v="14"/>
    <n v="789"/>
    <n v="386"/>
  </r>
  <r>
    <n v="616"/>
    <x v="34"/>
    <x v="17"/>
    <n v="606"/>
    <n v="1121"/>
    <n v="186"/>
    <n v="4567"/>
    <n v="878"/>
    <n v="6286"/>
    <n v="81"/>
  </r>
  <r>
    <n v="617"/>
    <x v="24"/>
    <x v="17"/>
    <n v="97"/>
    <n v="139"/>
    <n v="18"/>
    <n v="165"/>
    <n v="6"/>
    <n v="303"/>
    <n v="2"/>
  </r>
  <r>
    <n v="618"/>
    <x v="25"/>
    <x v="17"/>
    <n v="3946"/>
    <n v="15381"/>
    <n v="2444"/>
    <n v="12555"/>
    <n v="17"/>
    <n v="14233"/>
    <n v="27"/>
  </r>
  <r>
    <n v="619"/>
    <x v="26"/>
    <x v="17"/>
    <n v="561"/>
    <n v="502"/>
    <n v="63"/>
    <n v="548"/>
    <n v="8"/>
    <n v="622"/>
    <n v="0"/>
  </r>
  <r>
    <n v="620"/>
    <x v="27"/>
    <x v="17"/>
    <n v="1069"/>
    <n v="4249"/>
    <n v="444"/>
    <n v="3399"/>
    <n v="391"/>
    <n v="16951"/>
    <n v="97"/>
  </r>
  <r>
    <n v="621"/>
    <x v="28"/>
    <x v="17"/>
    <n v="30"/>
    <n v="2"/>
    <n v="0"/>
    <n v="35"/>
    <n v="4"/>
    <n v="4"/>
    <n v="0"/>
  </r>
  <r>
    <n v="622"/>
    <x v="29"/>
    <x v="17"/>
    <n v="86"/>
    <n v="139"/>
    <n v="6"/>
    <n v="100"/>
    <n v="3"/>
    <n v="93"/>
    <n v="0"/>
  </r>
  <r>
    <n v="623"/>
    <x v="35"/>
    <x v="17"/>
    <n v="7"/>
    <n v="0"/>
    <n v="0"/>
    <n v="6"/>
    <n v="2"/>
    <n v="1"/>
    <n v="0"/>
  </r>
  <r>
    <n v="624"/>
    <x v="31"/>
    <x v="17"/>
    <n v="3"/>
    <n v="0"/>
    <n v="0"/>
    <n v="5"/>
    <n v="1"/>
    <n v="4"/>
    <n v="0"/>
  </r>
  <r>
    <n v="625"/>
    <x v="36"/>
    <x v="17"/>
    <n v="1215"/>
    <n v="3715"/>
    <n v="153"/>
    <n v="2705"/>
    <n v="552"/>
    <n v="3416"/>
    <n v="1"/>
  </r>
  <r>
    <n v="626"/>
    <x v="32"/>
    <x v="17"/>
    <n v="2"/>
    <n v="0"/>
    <n v="0"/>
    <n v="0"/>
    <n v="1"/>
    <n v="1"/>
    <n v="0"/>
  </r>
  <r>
    <n v="627"/>
    <x v="33"/>
    <x v="17"/>
    <n v="0"/>
    <n v="14"/>
    <n v="0"/>
    <n v="60"/>
    <n v="9"/>
    <n v="8"/>
    <n v="4"/>
  </r>
  <r>
    <n v="628"/>
    <x v="0"/>
    <x v="18"/>
    <n v="1086"/>
    <n v="589"/>
    <n v="112"/>
    <n v="4444"/>
    <n v="1892"/>
    <n v="7851"/>
    <n v="88"/>
  </r>
  <r>
    <n v="629"/>
    <x v="1"/>
    <x v="18"/>
    <n v="63"/>
    <n v="68"/>
    <n v="1"/>
    <n v="80"/>
    <n v="6"/>
    <n v="54"/>
    <n v="0"/>
  </r>
  <r>
    <n v="630"/>
    <x v="2"/>
    <x v="18"/>
    <n v="1773"/>
    <n v="6989"/>
    <n v="156"/>
    <n v="4619"/>
    <n v="385"/>
    <n v="11943"/>
    <n v="12"/>
  </r>
  <r>
    <n v="631"/>
    <x v="3"/>
    <x v="18"/>
    <n v="730"/>
    <n v="9025"/>
    <n v="1120"/>
    <n v="312"/>
    <n v="11"/>
    <n v="2397"/>
    <n v="40"/>
  </r>
  <r>
    <n v="632"/>
    <x v="4"/>
    <x v="18"/>
    <n v="1036"/>
    <n v="2033"/>
    <n v="76"/>
    <n v="1316"/>
    <n v="232"/>
    <n v="732"/>
    <n v="12"/>
  </r>
  <r>
    <n v="633"/>
    <x v="5"/>
    <x v="18"/>
    <n v="72"/>
    <n v="52"/>
    <n v="1"/>
    <n v="119"/>
    <n v="37"/>
    <n v="9"/>
    <n v="1"/>
  </r>
  <r>
    <n v="634"/>
    <x v="6"/>
    <x v="18"/>
    <n v="528"/>
    <n v="922"/>
    <n v="9"/>
    <n v="1048"/>
    <n v="16"/>
    <n v="3619"/>
    <n v="24"/>
  </r>
  <r>
    <n v="635"/>
    <x v="7"/>
    <x v="18"/>
    <n v="1480"/>
    <n v="2803"/>
    <n v="248"/>
    <n v="2581"/>
    <n v="173"/>
    <n v="4867"/>
    <n v="28"/>
  </r>
  <r>
    <n v="636"/>
    <x v="8"/>
    <x v="18"/>
    <n v="359"/>
    <n v="337"/>
    <n v="4"/>
    <n v="498"/>
    <n v="72"/>
    <n v="228"/>
    <n v="10"/>
  </r>
  <r>
    <n v="637"/>
    <x v="9"/>
    <x v="18"/>
    <n v="223"/>
    <n v="893"/>
    <n v="8"/>
    <n v="1440"/>
    <n v="15"/>
    <n v="347"/>
    <n v="0"/>
  </r>
  <r>
    <n v="638"/>
    <x v="10"/>
    <x v="18"/>
    <n v="1416"/>
    <n v="1008"/>
    <n v="299"/>
    <n v="1646"/>
    <n v="7"/>
    <n v="1426"/>
    <n v="4"/>
  </r>
  <r>
    <n v="639"/>
    <x v="11"/>
    <x v="18"/>
    <n v="505"/>
    <n v="1056"/>
    <n v="194"/>
    <n v="4937"/>
    <n v="107"/>
    <n v="2472"/>
    <n v="214"/>
  </r>
  <r>
    <n v="640"/>
    <x v="12"/>
    <x v="18"/>
    <n v="2023"/>
    <n v="227"/>
    <n v="8"/>
    <n v="4507"/>
    <n v="435"/>
    <n v="2970"/>
    <n v="10"/>
  </r>
  <r>
    <n v="641"/>
    <x v="13"/>
    <x v="18"/>
    <n v="2485"/>
    <n v="6091"/>
    <n v="550"/>
    <n v="5585"/>
    <n v="174"/>
    <n v="5486"/>
    <n v="21"/>
  </r>
  <r>
    <n v="642"/>
    <x v="14"/>
    <x v="18"/>
    <n v="2299"/>
    <n v="6906"/>
    <n v="196"/>
    <n v="10472"/>
    <n v="1074"/>
    <n v="8430"/>
    <n v="152"/>
  </r>
  <r>
    <n v="643"/>
    <x v="15"/>
    <x v="18"/>
    <n v="36"/>
    <n v="84"/>
    <n v="0"/>
    <n v="59"/>
    <n v="7"/>
    <n v="15"/>
    <n v="0"/>
  </r>
  <r>
    <n v="644"/>
    <x v="16"/>
    <x v="18"/>
    <n v="102"/>
    <n v="71"/>
    <n v="3"/>
    <n v="96"/>
    <n v="18"/>
    <n v="23"/>
    <n v="3"/>
  </r>
  <r>
    <n v="645"/>
    <x v="17"/>
    <x v="18"/>
    <n v="42"/>
    <n v="2"/>
    <n v="0"/>
    <n v="35"/>
    <n v="0"/>
    <n v="5"/>
    <n v="0"/>
  </r>
  <r>
    <n v="646"/>
    <x v="18"/>
    <x v="18"/>
    <n v="8"/>
    <n v="13"/>
    <n v="0"/>
    <n v="8"/>
    <n v="1"/>
    <n v="0"/>
    <n v="0"/>
  </r>
  <r>
    <n v="647"/>
    <x v="19"/>
    <x v="18"/>
    <n v="1382"/>
    <n v="3934"/>
    <n v="342"/>
    <n v="11308"/>
    <n v="536"/>
    <n v="2739"/>
    <n v="19"/>
  </r>
  <r>
    <n v="648"/>
    <x v="20"/>
    <x v="18"/>
    <n v="1002"/>
    <n v="1534"/>
    <n v="69"/>
    <n v="944"/>
    <n v="35"/>
    <n v="1595"/>
    <n v="9"/>
  </r>
  <r>
    <n v="649"/>
    <x v="21"/>
    <x v="18"/>
    <n v="5997"/>
    <n v="5907"/>
    <n v="452"/>
    <n v="8802"/>
    <n v="69"/>
    <n v="18432"/>
    <n v="40"/>
  </r>
  <r>
    <n v="650"/>
    <x v="22"/>
    <x v="18"/>
    <n v="11"/>
    <n v="0"/>
    <n v="0"/>
    <n v="21"/>
    <n v="2"/>
    <n v="1"/>
    <n v="0"/>
  </r>
  <r>
    <n v="651"/>
    <x v="23"/>
    <x v="18"/>
    <n v="362"/>
    <n v="699"/>
    <n v="28"/>
    <n v="803"/>
    <n v="7"/>
    <n v="781"/>
    <n v="349"/>
  </r>
  <r>
    <n v="652"/>
    <x v="34"/>
    <x v="18"/>
    <n v="873"/>
    <n v="1322"/>
    <n v="163"/>
    <n v="4190"/>
    <n v="695"/>
    <n v="8541"/>
    <n v="22"/>
  </r>
  <r>
    <n v="653"/>
    <x v="24"/>
    <x v="18"/>
    <n v="88"/>
    <n v="138"/>
    <n v="38"/>
    <n v="153"/>
    <n v="5"/>
    <n v="451"/>
    <n v="0"/>
  </r>
  <r>
    <n v="654"/>
    <x v="25"/>
    <x v="18"/>
    <n v="3065"/>
    <n v="11649"/>
    <n v="2410"/>
    <n v="11988"/>
    <n v="42"/>
    <n v="18304"/>
    <n v="22"/>
  </r>
  <r>
    <n v="655"/>
    <x v="26"/>
    <x v="18"/>
    <n v="526"/>
    <n v="375"/>
    <n v="57"/>
    <n v="475"/>
    <n v="10"/>
    <n v="644"/>
    <n v="3"/>
  </r>
  <r>
    <n v="656"/>
    <x v="27"/>
    <x v="18"/>
    <n v="1069"/>
    <n v="4249"/>
    <n v="444"/>
    <n v="3399"/>
    <n v="391"/>
    <n v="16951"/>
    <n v="97"/>
  </r>
  <r>
    <n v="657"/>
    <x v="28"/>
    <x v="18"/>
    <n v="13"/>
    <n v="0"/>
    <n v="0"/>
    <n v="25"/>
    <n v="3"/>
    <n v="1"/>
    <n v="0"/>
  </r>
  <r>
    <n v="658"/>
    <x v="29"/>
    <x v="18"/>
    <n v="112"/>
    <n v="129"/>
    <n v="6"/>
    <n v="66"/>
    <n v="15"/>
    <n v="177"/>
    <n v="0"/>
  </r>
  <r>
    <n v="659"/>
    <x v="35"/>
    <x v="18"/>
    <n v="0"/>
    <n v="1"/>
    <n v="3"/>
    <n v="3"/>
    <n v="0"/>
    <n v="3"/>
    <n v="0"/>
  </r>
  <r>
    <n v="660"/>
    <x v="31"/>
    <x v="18"/>
    <n v="4"/>
    <n v="2"/>
    <n v="2"/>
    <n v="5"/>
    <n v="3"/>
    <n v="4"/>
    <n v="1"/>
  </r>
  <r>
    <n v="661"/>
    <x v="36"/>
    <x v="18"/>
    <n v="1253"/>
    <n v="3672"/>
    <n v="116"/>
    <n v="2355"/>
    <n v="456"/>
    <n v="3792"/>
    <n v="4"/>
  </r>
  <r>
    <n v="662"/>
    <x v="32"/>
    <x v="18"/>
    <n v="0"/>
    <n v="0"/>
    <n v="0"/>
    <n v="5"/>
    <n v="8"/>
    <n v="0"/>
    <n v="0"/>
  </r>
  <r>
    <n v="663"/>
    <x v="33"/>
    <x v="18"/>
    <n v="10"/>
    <n v="0"/>
    <n v="0"/>
    <n v="23"/>
    <n v="0"/>
    <n v="8"/>
    <n v="0"/>
  </r>
  <r>
    <n v="664"/>
    <x v="0"/>
    <x v="19"/>
    <n v="1095"/>
    <n v="534"/>
    <n v="111"/>
    <n v="4886"/>
    <n v="2342"/>
    <n v="6546"/>
    <n v="48"/>
  </r>
  <r>
    <n v="665"/>
    <x v="1"/>
    <x v="19"/>
    <n v="60"/>
    <n v="45"/>
    <n v="0"/>
    <n v="73"/>
    <n v="3"/>
    <n v="69"/>
    <n v="0"/>
  </r>
  <r>
    <n v="666"/>
    <x v="2"/>
    <x v="19"/>
    <n v="1657"/>
    <n v="5364"/>
    <n v="148"/>
    <n v="4642"/>
    <n v="90"/>
    <n v="11408"/>
    <n v="18"/>
  </r>
  <r>
    <n v="667"/>
    <x v="3"/>
    <x v="19"/>
    <n v="806"/>
    <n v="6671"/>
    <n v="1046"/>
    <n v="584"/>
    <n v="6"/>
    <n v="1935"/>
    <n v="30"/>
  </r>
  <r>
    <n v="668"/>
    <x v="4"/>
    <x v="19"/>
    <n v="1210"/>
    <n v="1341"/>
    <n v="71"/>
    <n v="1461"/>
    <n v="279"/>
    <n v="641"/>
    <n v="3"/>
  </r>
  <r>
    <n v="669"/>
    <x v="5"/>
    <x v="19"/>
    <n v="60"/>
    <n v="31"/>
    <n v="0"/>
    <n v="67"/>
    <n v="35"/>
    <n v="8"/>
    <n v="0"/>
  </r>
  <r>
    <n v="670"/>
    <x v="6"/>
    <x v="19"/>
    <n v="486"/>
    <n v="597"/>
    <n v="6"/>
    <n v="846"/>
    <n v="17"/>
    <n v="3345"/>
    <n v="47"/>
  </r>
  <r>
    <n v="671"/>
    <x v="7"/>
    <x v="19"/>
    <n v="1373"/>
    <n v="2423"/>
    <n v="251"/>
    <n v="2339"/>
    <n v="183"/>
    <n v="4119"/>
    <n v="28"/>
  </r>
  <r>
    <n v="672"/>
    <x v="8"/>
    <x v="19"/>
    <n v="331"/>
    <n v="281"/>
    <n v="1"/>
    <n v="538"/>
    <n v="88"/>
    <n v="259"/>
    <n v="0"/>
  </r>
  <r>
    <n v="673"/>
    <x v="9"/>
    <x v="19"/>
    <n v="1321"/>
    <n v="993"/>
    <n v="275"/>
    <n v="1358"/>
    <n v="6"/>
    <n v="857"/>
    <n v="2"/>
  </r>
  <r>
    <n v="674"/>
    <x v="10"/>
    <x v="19"/>
    <n v="504"/>
    <n v="923"/>
    <n v="176"/>
    <n v="4751"/>
    <n v="70"/>
    <n v="2055"/>
    <n v="159"/>
  </r>
  <r>
    <n v="675"/>
    <x v="11"/>
    <x v="19"/>
    <n v="637"/>
    <n v="151"/>
    <n v="6"/>
    <n v="3890"/>
    <n v="442"/>
    <n v="2707"/>
    <n v="5"/>
  </r>
  <r>
    <n v="676"/>
    <x v="12"/>
    <x v="19"/>
    <n v="2339"/>
    <n v="4782"/>
    <n v="608"/>
    <n v="5378"/>
    <n v="200"/>
    <n v="5540"/>
    <n v="14"/>
  </r>
  <r>
    <n v="677"/>
    <x v="13"/>
    <x v="19"/>
    <n v="2061"/>
    <n v="5254"/>
    <n v="197"/>
    <n v="9965"/>
    <n v="969"/>
    <n v="6729"/>
    <n v="85"/>
  </r>
  <r>
    <n v="678"/>
    <x v="14"/>
    <x v="19"/>
    <n v="32"/>
    <n v="49"/>
    <n v="1"/>
    <n v="61"/>
    <n v="8"/>
    <n v="7"/>
    <n v="0"/>
  </r>
  <r>
    <n v="679"/>
    <x v="15"/>
    <x v="19"/>
    <n v="67"/>
    <n v="29"/>
    <n v="1"/>
    <n v="86"/>
    <n v="16"/>
    <n v="17"/>
    <n v="0"/>
  </r>
  <r>
    <n v="680"/>
    <x v="16"/>
    <x v="19"/>
    <n v="33"/>
    <n v="1"/>
    <n v="0"/>
    <n v="26"/>
    <n v="3"/>
    <n v="7"/>
    <n v="0"/>
  </r>
  <r>
    <n v="681"/>
    <x v="17"/>
    <x v="19"/>
    <n v="4"/>
    <n v="6"/>
    <n v="1"/>
    <n v="7"/>
    <n v="2"/>
    <n v="2"/>
    <n v="0"/>
  </r>
  <r>
    <n v="682"/>
    <x v="18"/>
    <x v="19"/>
    <n v="1211"/>
    <n v="3775"/>
    <n v="320"/>
    <n v="12605"/>
    <n v="615"/>
    <n v="3659"/>
    <n v="19"/>
  </r>
  <r>
    <n v="683"/>
    <x v="19"/>
    <x v="19"/>
    <n v="502"/>
    <n v="1241"/>
    <n v="63"/>
    <n v="731"/>
    <n v="28"/>
    <n v="1271"/>
    <n v="11"/>
  </r>
  <r>
    <n v="684"/>
    <x v="20"/>
    <x v="19"/>
    <n v="5310"/>
    <n v="4739"/>
    <n v="479"/>
    <n v="8661"/>
    <n v="85"/>
    <n v="13765"/>
    <n v="67"/>
  </r>
  <r>
    <n v="685"/>
    <x v="21"/>
    <x v="19"/>
    <n v="12"/>
    <n v="11"/>
    <n v="0"/>
    <n v="18"/>
    <n v="0"/>
    <n v="1"/>
    <n v="0"/>
  </r>
  <r>
    <n v="686"/>
    <x v="22"/>
    <x v="19"/>
    <n v="389"/>
    <n v="633"/>
    <n v="40"/>
    <n v="892"/>
    <n v="31"/>
    <n v="689"/>
    <n v="231"/>
  </r>
  <r>
    <n v="687"/>
    <x v="23"/>
    <x v="19"/>
    <n v="764"/>
    <n v="1314"/>
    <n v="158"/>
    <n v="4907"/>
    <n v="565"/>
    <n v="7453"/>
    <n v="13"/>
  </r>
  <r>
    <n v="688"/>
    <x v="34"/>
    <x v="19"/>
    <n v="79"/>
    <n v="110"/>
    <n v="23"/>
    <n v="115"/>
    <n v="3"/>
    <n v="356"/>
    <n v="0"/>
  </r>
  <r>
    <n v="689"/>
    <x v="24"/>
    <x v="19"/>
    <n v="2769"/>
    <n v="9109"/>
    <n v="2274"/>
    <n v="9864"/>
    <n v="28"/>
    <n v="14454"/>
    <n v="25"/>
  </r>
  <r>
    <n v="690"/>
    <x v="25"/>
    <x v="19"/>
    <n v="487"/>
    <n v="349"/>
    <n v="65"/>
    <n v="474"/>
    <n v="43"/>
    <n v="668"/>
    <n v="8"/>
  </r>
  <r>
    <n v="691"/>
    <x v="26"/>
    <x v="19"/>
    <n v="1128"/>
    <n v="7740"/>
    <n v="522"/>
    <n v="2488"/>
    <n v="446"/>
    <n v="19962"/>
    <n v="52"/>
  </r>
  <r>
    <n v="692"/>
    <x v="27"/>
    <x v="19"/>
    <n v="2"/>
    <n v="1"/>
    <n v="0"/>
    <n v="15"/>
    <n v="3"/>
    <n v="2"/>
    <n v="0"/>
  </r>
  <r>
    <n v="693"/>
    <x v="28"/>
    <x v="19"/>
    <n v="60"/>
    <n v="90"/>
    <n v="1"/>
    <n v="42"/>
    <n v="4"/>
    <n v="96"/>
    <n v="0"/>
  </r>
  <r>
    <n v="694"/>
    <x v="29"/>
    <x v="19"/>
    <n v="4"/>
    <n v="0"/>
    <n v="1"/>
    <n v="6"/>
    <n v="3"/>
    <n v="4"/>
    <n v="0"/>
  </r>
  <r>
    <n v="695"/>
    <x v="35"/>
    <x v="19"/>
    <n v="997"/>
    <n v="2938"/>
    <n v="110"/>
    <n v="1840"/>
    <n v="416"/>
    <n v="2557"/>
    <n v="3"/>
  </r>
  <r>
    <n v="696"/>
    <x v="31"/>
    <x v="19"/>
    <n v="243"/>
    <n v="775"/>
    <n v="9"/>
    <n v="1744"/>
    <n v="35"/>
    <n v="349"/>
    <n v="0"/>
  </r>
  <r>
    <n v="697"/>
    <x v="36"/>
    <x v="19"/>
    <n v="2"/>
    <n v="0"/>
    <n v="0"/>
    <n v="4"/>
    <n v="0"/>
    <n v="3"/>
    <n v="0"/>
  </r>
  <r>
    <n v="698"/>
    <x v="32"/>
    <x v="19"/>
    <n v="3"/>
    <n v="0"/>
    <n v="0"/>
    <n v="3"/>
    <n v="1"/>
    <n v="0"/>
    <n v="0"/>
  </r>
  <r>
    <n v="699"/>
    <x v="33"/>
    <x v="19"/>
    <n v="8"/>
    <n v="0"/>
    <n v="2"/>
    <n v="25"/>
    <n v="0"/>
    <n v="9"/>
    <n v="0"/>
  </r>
  <r>
    <n v="700"/>
    <x v="0"/>
    <x v="20"/>
    <n v="1188"/>
    <n v="613"/>
    <n v="108"/>
    <n v="5108"/>
    <n v="2370"/>
    <n v="7092"/>
    <n v="70"/>
  </r>
  <r>
    <n v="701"/>
    <x v="1"/>
    <x v="20"/>
    <n v="83"/>
    <n v="50"/>
    <n v="0"/>
    <n v="74"/>
    <n v="10"/>
    <n v="112"/>
    <n v="0"/>
  </r>
  <r>
    <n v="702"/>
    <x v="2"/>
    <x v="20"/>
    <n v="1733"/>
    <n v="5739"/>
    <n v="198"/>
    <n v="4499"/>
    <n v="184"/>
    <n v="12950"/>
    <n v="22"/>
  </r>
  <r>
    <n v="703"/>
    <x v="3"/>
    <x v="20"/>
    <n v="786"/>
    <n v="8661"/>
    <n v="1000"/>
    <n v="387"/>
    <n v="1"/>
    <n v="2069"/>
    <n v="32"/>
  </r>
  <r>
    <n v="704"/>
    <x v="4"/>
    <x v="20"/>
    <n v="1093"/>
    <n v="1158"/>
    <n v="65"/>
    <n v="1248"/>
    <n v="238"/>
    <n v="963"/>
    <n v="3"/>
  </r>
  <r>
    <n v="705"/>
    <x v="5"/>
    <x v="20"/>
    <n v="72"/>
    <n v="39"/>
    <n v="0"/>
    <n v="74"/>
    <n v="20"/>
    <n v="1"/>
    <n v="1"/>
  </r>
  <r>
    <n v="706"/>
    <x v="6"/>
    <x v="20"/>
    <n v="589"/>
    <n v="881"/>
    <n v="11"/>
    <n v="660"/>
    <n v="7"/>
    <n v="2271"/>
    <n v="38"/>
  </r>
  <r>
    <n v="707"/>
    <x v="7"/>
    <x v="20"/>
    <n v="1716"/>
    <n v="2958"/>
    <n v="275"/>
    <n v="2882"/>
    <n v="290"/>
    <n v="5755"/>
    <n v="28"/>
  </r>
  <r>
    <n v="708"/>
    <x v="8"/>
    <x v="20"/>
    <n v="358"/>
    <n v="344"/>
    <n v="2"/>
    <n v="487"/>
    <n v="94"/>
    <n v="221"/>
    <n v="6"/>
  </r>
  <r>
    <n v="709"/>
    <x v="9"/>
    <x v="20"/>
    <n v="1425"/>
    <n v="1159"/>
    <n v="281"/>
    <n v="1335"/>
    <n v="6"/>
    <n v="931"/>
    <n v="3"/>
  </r>
  <r>
    <n v="710"/>
    <x v="10"/>
    <x v="20"/>
    <n v="555"/>
    <n v="906"/>
    <n v="158"/>
    <n v="5105"/>
    <n v="71"/>
    <n v="2336"/>
    <n v="190"/>
  </r>
  <r>
    <n v="711"/>
    <x v="11"/>
    <x v="20"/>
    <n v="771"/>
    <n v="179"/>
    <n v="9"/>
    <n v="4059"/>
    <n v="504"/>
    <n v="4997"/>
    <n v="5"/>
  </r>
  <r>
    <n v="712"/>
    <x v="12"/>
    <x v="20"/>
    <n v="2947"/>
    <n v="6106"/>
    <n v="522"/>
    <n v="5760"/>
    <n v="250"/>
    <n v="7929"/>
    <n v="15"/>
  </r>
  <r>
    <n v="713"/>
    <x v="13"/>
    <x v="20"/>
    <n v="2496"/>
    <n v="7559"/>
    <n v="172"/>
    <n v="10568"/>
    <n v="1038"/>
    <n v="10095"/>
    <n v="95"/>
  </r>
  <r>
    <n v="714"/>
    <x v="14"/>
    <x v="20"/>
    <n v="26"/>
    <n v="44"/>
    <n v="2"/>
    <n v="92"/>
    <n v="16"/>
    <n v="18"/>
    <n v="0"/>
  </r>
  <r>
    <n v="715"/>
    <x v="15"/>
    <x v="20"/>
    <n v="75"/>
    <n v="42"/>
    <n v="0"/>
    <n v="92"/>
    <n v="24"/>
    <n v="21"/>
    <n v="3"/>
  </r>
  <r>
    <n v="716"/>
    <x v="16"/>
    <x v="20"/>
    <n v="26"/>
    <n v="0"/>
    <n v="0"/>
    <n v="31"/>
    <n v="0"/>
    <n v="11"/>
    <n v="0"/>
  </r>
  <r>
    <n v="717"/>
    <x v="17"/>
    <x v="20"/>
    <n v="4"/>
    <n v="5"/>
    <n v="0"/>
    <n v="11"/>
    <n v="1"/>
    <n v="2"/>
    <n v="0"/>
  </r>
  <r>
    <n v="718"/>
    <x v="18"/>
    <x v="20"/>
    <n v="1456"/>
    <n v="5175"/>
    <n v="293"/>
    <n v="14853"/>
    <n v="838"/>
    <n v="4889"/>
    <n v="31"/>
  </r>
  <r>
    <n v="719"/>
    <x v="19"/>
    <x v="20"/>
    <n v="464"/>
    <n v="1616"/>
    <n v="69"/>
    <n v="678"/>
    <n v="39"/>
    <n v="1714"/>
    <n v="12"/>
  </r>
  <r>
    <n v="720"/>
    <x v="20"/>
    <x v="20"/>
    <n v="6337"/>
    <n v="5964"/>
    <n v="452"/>
    <n v="9079"/>
    <n v="73"/>
    <n v="16949"/>
    <n v="40"/>
  </r>
  <r>
    <n v="721"/>
    <x v="21"/>
    <x v="20"/>
    <n v="8"/>
    <n v="1"/>
    <n v="0"/>
    <n v="17"/>
    <n v="0"/>
    <n v="3"/>
    <n v="0"/>
  </r>
  <r>
    <n v="722"/>
    <x v="22"/>
    <x v="20"/>
    <n v="422"/>
    <n v="638"/>
    <n v="27"/>
    <n v="1077"/>
    <n v="32"/>
    <n v="875"/>
    <n v="381"/>
  </r>
  <r>
    <n v="723"/>
    <x v="23"/>
    <x v="20"/>
    <n v="823"/>
    <n v="1934"/>
    <n v="175"/>
    <n v="4365"/>
    <n v="775"/>
    <n v="9468"/>
    <n v="12"/>
  </r>
  <r>
    <n v="724"/>
    <x v="34"/>
    <x v="20"/>
    <n v="61"/>
    <n v="115"/>
    <n v="22"/>
    <n v="94"/>
    <n v="1"/>
    <n v="355"/>
    <n v="0"/>
  </r>
  <r>
    <n v="725"/>
    <x v="24"/>
    <x v="20"/>
    <n v="2845"/>
    <n v="10574"/>
    <n v="2222"/>
    <n v="9393"/>
    <n v="27"/>
    <n v="18375"/>
    <n v="12"/>
  </r>
  <r>
    <n v="726"/>
    <x v="25"/>
    <x v="20"/>
    <n v="534"/>
    <n v="402"/>
    <n v="72"/>
    <n v="655"/>
    <n v="13"/>
    <n v="519"/>
    <n v="17"/>
  </r>
  <r>
    <n v="727"/>
    <x v="26"/>
    <x v="20"/>
    <n v="1123"/>
    <n v="7376"/>
    <n v="454"/>
    <n v="2485"/>
    <n v="424"/>
    <n v="19952"/>
    <n v="50"/>
  </r>
  <r>
    <n v="728"/>
    <x v="27"/>
    <x v="20"/>
    <n v="15"/>
    <n v="0"/>
    <n v="1"/>
    <n v="32"/>
    <n v="4"/>
    <n v="4"/>
    <n v="0"/>
  </r>
  <r>
    <n v="729"/>
    <x v="28"/>
    <x v="20"/>
    <n v="74"/>
    <n v="120"/>
    <n v="4"/>
    <n v="37"/>
    <n v="6"/>
    <n v="95"/>
    <n v="0"/>
  </r>
  <r>
    <n v="730"/>
    <x v="29"/>
    <x v="20"/>
    <n v="3"/>
    <n v="23"/>
    <n v="0"/>
    <n v="7"/>
    <n v="0"/>
    <n v="6"/>
    <n v="0"/>
  </r>
  <r>
    <n v="731"/>
    <x v="35"/>
    <x v="20"/>
    <n v="1250"/>
    <n v="4083"/>
    <n v="141"/>
    <n v="2068"/>
    <n v="417"/>
    <n v="4731"/>
    <n v="4"/>
  </r>
  <r>
    <n v="732"/>
    <x v="31"/>
    <x v="20"/>
    <n v="315"/>
    <n v="904"/>
    <n v="16"/>
    <n v="1851"/>
    <n v="10"/>
    <n v="501"/>
    <n v="1"/>
  </r>
  <r>
    <n v="733"/>
    <x v="36"/>
    <x v="20"/>
    <n v="2"/>
    <n v="1"/>
    <n v="0"/>
    <n v="5"/>
    <n v="1"/>
    <n v="9"/>
    <n v="0"/>
  </r>
  <r>
    <n v="734"/>
    <x v="32"/>
    <x v="20"/>
    <n v="0"/>
    <n v="0"/>
    <n v="0"/>
    <n v="1"/>
    <n v="1"/>
    <n v="3"/>
    <n v="0"/>
  </r>
  <r>
    <n v="735"/>
    <x v="33"/>
    <x v="20"/>
    <n v="2"/>
    <n v="0"/>
    <n v="2"/>
    <n v="31"/>
    <n v="3"/>
    <n v="1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D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Rape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5" firstHeaderRow="1" firstDataRow="1" firstDataCol="1"/>
  <pivotFields count="10">
    <pivotField showAll="0"/>
    <pivotField showAll="0">
      <items count="38">
        <item x="28"/>
        <item x="0"/>
        <item x="1"/>
        <item x="2"/>
        <item x="3"/>
        <item x="29"/>
        <item x="4"/>
        <item x="30"/>
        <item x="35"/>
        <item x="31"/>
        <item x="36"/>
        <item x="5"/>
        <item x="6"/>
        <item x="7"/>
        <item x="8"/>
        <item x="9"/>
        <item x="10"/>
        <item x="11"/>
        <item x="12"/>
        <item x="32"/>
        <item x="13"/>
        <item x="14"/>
        <item x="15"/>
        <item x="16"/>
        <item x="17"/>
        <item x="18"/>
        <item x="19"/>
        <item x="33"/>
        <item x="20"/>
        <item x="21"/>
        <item x="22"/>
        <item x="23"/>
        <item x="34"/>
        <item x="24"/>
        <item x="25"/>
        <item x="26"/>
        <item x="27"/>
        <item t="default"/>
      </items>
    </pivotField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K&amp;A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DD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3EAA0B-56B3-4304-B1C1-150BB2EB02EC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oW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3C9EE-03AD-4736-8EB6-90DF35AE52CA}" name="PivotTable2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AoM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BE310-CAB0-45FB-AB5C-C81F5742FDBA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DV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8AC7C-798C-4460-BF7F-D93FDB84E079}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25" firstHeaderRow="1" firstDataRow="1" firstDataCol="1"/>
  <pivotFields count="10"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WT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42BC6-BAB7-43A7-85E3-72CD1222D5E0}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B14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CRIM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sOnWomenData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2F3F7D-B641-4D72-A08A-94DC4CE8485A}" name="PivotTable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A3:B25" firstHeaderRow="1" firstDataRow="1" firstDataCol="1"/>
  <pivotFields count="2">
    <pivotField axis="axisRow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TOTAL CRIME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rimesOnWomenData (2)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37" totalsRowShown="0">
  <autoFilter ref="A1:J737" xr:uid="{00000000-0009-0000-0100-000001000000}"/>
  <sortState ref="A2:J737">
    <sortCondition ref="B1:B737"/>
  </sortState>
  <tableColumns count="10">
    <tableColumn id="2" xr3:uid="{00000000-0010-0000-0000-000002000000}" name="State"/>
    <tableColumn id="3" xr3:uid="{00000000-0010-0000-0000-000003000000}" name="Year"/>
    <tableColumn id="4" xr3:uid="{00000000-0010-0000-0000-000004000000}" name="Rape"/>
    <tableColumn id="5" xr3:uid="{00000000-0010-0000-0000-000005000000}" name="K&amp;A"/>
    <tableColumn id="6" xr3:uid="{00000000-0010-0000-0000-000006000000}" name="DD"/>
    <tableColumn id="7" xr3:uid="{00000000-0010-0000-0000-000007000000}" name="AoW"/>
    <tableColumn id="8" xr3:uid="{00000000-0010-0000-0000-000008000000}" name="AoM"/>
    <tableColumn id="9" xr3:uid="{00000000-0010-0000-0000-000009000000}" name="DV"/>
    <tableColumn id="10" xr3:uid="{00000000-0010-0000-0000-00000A000000}" name="WT"/>
    <tableColumn id="11" xr3:uid="{3913F350-08D2-4B7E-96D2-A9A3F047C805}" name="TOTAL CRIME" dataDxfId="0">
      <calculatedColumnFormula>SUM(C2:I2)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25"/>
  <sheetViews>
    <sheetView workbookViewId="0">
      <selection activeCell="M9" sqref="M9"/>
    </sheetView>
  </sheetViews>
  <sheetFormatPr defaultRowHeight="14.5" x14ac:dyDescent="0.35"/>
  <cols>
    <col min="1" max="1" width="12.36328125" bestFit="1" customWidth="1"/>
    <col min="2" max="2" width="9.6328125" bestFit="1" customWidth="1"/>
  </cols>
  <sheetData>
    <row r="3" spans="1:2" x14ac:dyDescent="0.35">
      <c r="A3" s="2" t="s">
        <v>80</v>
      </c>
      <c r="B3" t="s">
        <v>83</v>
      </c>
    </row>
    <row r="4" spans="1:2" x14ac:dyDescent="0.35">
      <c r="A4" s="3">
        <v>2001</v>
      </c>
      <c r="B4" s="1">
        <v>6738</v>
      </c>
    </row>
    <row r="5" spans="1:2" x14ac:dyDescent="0.35">
      <c r="A5" s="3">
        <v>2002</v>
      </c>
      <c r="B5" s="1">
        <v>6687</v>
      </c>
    </row>
    <row r="6" spans="1:2" x14ac:dyDescent="0.35">
      <c r="A6" s="3">
        <v>2003</v>
      </c>
      <c r="B6" s="1">
        <v>6078</v>
      </c>
    </row>
    <row r="7" spans="1:2" x14ac:dyDescent="0.35">
      <c r="A7" s="3">
        <v>2004</v>
      </c>
      <c r="B7" s="1">
        <v>6900</v>
      </c>
    </row>
    <row r="8" spans="1:2" x14ac:dyDescent="0.35">
      <c r="A8" s="3">
        <v>2005</v>
      </c>
      <c r="B8" s="1">
        <v>6673</v>
      </c>
    </row>
    <row r="9" spans="1:2" x14ac:dyDescent="0.35">
      <c r="A9" s="3">
        <v>2006</v>
      </c>
      <c r="B9" s="1">
        <v>7481</v>
      </c>
    </row>
    <row r="10" spans="1:2" x14ac:dyDescent="0.35">
      <c r="A10" s="3">
        <v>2007</v>
      </c>
      <c r="B10" s="1">
        <v>7955</v>
      </c>
    </row>
    <row r="11" spans="1:2" x14ac:dyDescent="0.35">
      <c r="A11" s="3">
        <v>2008</v>
      </c>
      <c r="B11" s="1">
        <v>8043</v>
      </c>
    </row>
    <row r="12" spans="1:2" x14ac:dyDescent="0.35">
      <c r="A12" s="3">
        <v>2009</v>
      </c>
      <c r="B12" s="1">
        <v>8242</v>
      </c>
    </row>
    <row r="13" spans="1:2" x14ac:dyDescent="0.35">
      <c r="A13" s="3">
        <v>2010</v>
      </c>
      <c r="B13" s="1">
        <v>8248</v>
      </c>
    </row>
    <row r="14" spans="1:2" x14ac:dyDescent="0.35">
      <c r="A14" s="3">
        <v>2011</v>
      </c>
      <c r="B14" s="1">
        <v>8618</v>
      </c>
    </row>
    <row r="15" spans="1:2" x14ac:dyDescent="0.35">
      <c r="A15" s="3">
        <v>2012</v>
      </c>
      <c r="B15" s="1">
        <v>8233</v>
      </c>
    </row>
    <row r="16" spans="1:2" x14ac:dyDescent="0.35">
      <c r="A16" s="3">
        <v>2013</v>
      </c>
      <c r="B16" s="1">
        <v>8083</v>
      </c>
    </row>
    <row r="17" spans="1:2" x14ac:dyDescent="0.35">
      <c r="A17" s="3">
        <v>2014</v>
      </c>
      <c r="B17" s="1">
        <v>10050</v>
      </c>
    </row>
    <row r="18" spans="1:2" x14ac:dyDescent="0.35">
      <c r="A18" s="3">
        <v>2015</v>
      </c>
      <c r="B18" s="1">
        <v>7634</v>
      </c>
    </row>
    <row r="19" spans="1:2" x14ac:dyDescent="0.35">
      <c r="A19" s="3">
        <v>2016</v>
      </c>
      <c r="B19" s="1">
        <v>7621</v>
      </c>
    </row>
    <row r="20" spans="1:2" x14ac:dyDescent="0.35">
      <c r="A20" s="3">
        <v>2017</v>
      </c>
      <c r="B20" s="1">
        <v>7466</v>
      </c>
    </row>
    <row r="21" spans="1:2" x14ac:dyDescent="0.35">
      <c r="A21" s="3">
        <v>2018</v>
      </c>
      <c r="B21" s="1">
        <v>7166</v>
      </c>
    </row>
    <row r="22" spans="1:2" x14ac:dyDescent="0.35">
      <c r="A22" s="3">
        <v>2019</v>
      </c>
      <c r="B22" s="1">
        <v>7115</v>
      </c>
    </row>
    <row r="23" spans="1:2" x14ac:dyDescent="0.35">
      <c r="A23" s="3">
        <v>2020</v>
      </c>
      <c r="B23" s="1">
        <v>6966</v>
      </c>
    </row>
    <row r="24" spans="1:2" x14ac:dyDescent="0.35">
      <c r="A24" s="3">
        <v>2021</v>
      </c>
      <c r="B24" s="1">
        <v>6753</v>
      </c>
    </row>
    <row r="25" spans="1:2" x14ac:dyDescent="0.35">
      <c r="A25" s="3" t="s">
        <v>81</v>
      </c>
      <c r="B25" s="1">
        <v>158750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5"/>
  <sheetViews>
    <sheetView topLeftCell="A2" workbookViewId="0">
      <selection activeCell="N11" sqref="N11"/>
    </sheetView>
  </sheetViews>
  <sheetFormatPr defaultRowHeight="14.5" x14ac:dyDescent="0.35"/>
  <cols>
    <col min="1" max="1" width="12.36328125" bestFit="1" customWidth="1"/>
    <col min="2" max="2" width="11.26953125" bestFit="1" customWidth="1"/>
  </cols>
  <sheetData>
    <row r="3" spans="1:2" x14ac:dyDescent="0.35">
      <c r="A3" s="2" t="s">
        <v>80</v>
      </c>
      <c r="B3" t="s">
        <v>79</v>
      </c>
    </row>
    <row r="4" spans="1:2" x14ac:dyDescent="0.35">
      <c r="A4" s="3">
        <v>2001</v>
      </c>
      <c r="B4" s="1">
        <v>15694</v>
      </c>
    </row>
    <row r="5" spans="1:2" x14ac:dyDescent="0.35">
      <c r="A5" s="3">
        <v>2002</v>
      </c>
      <c r="B5" s="1">
        <v>15970</v>
      </c>
    </row>
    <row r="6" spans="1:2" x14ac:dyDescent="0.35">
      <c r="A6" s="3">
        <v>2003</v>
      </c>
      <c r="B6" s="1">
        <v>15357</v>
      </c>
    </row>
    <row r="7" spans="1:2" x14ac:dyDescent="0.35">
      <c r="A7" s="3">
        <v>2004</v>
      </c>
      <c r="B7" s="1">
        <v>17682</v>
      </c>
    </row>
    <row r="8" spans="1:2" x14ac:dyDescent="0.35">
      <c r="A8" s="3">
        <v>2005</v>
      </c>
      <c r="B8" s="1">
        <v>17701</v>
      </c>
    </row>
    <row r="9" spans="1:2" x14ac:dyDescent="0.35">
      <c r="A9" s="3">
        <v>2006</v>
      </c>
      <c r="B9" s="1">
        <v>18725</v>
      </c>
    </row>
    <row r="10" spans="1:2" x14ac:dyDescent="0.35">
      <c r="A10" s="3">
        <v>2007</v>
      </c>
      <c r="B10" s="1">
        <v>20139</v>
      </c>
    </row>
    <row r="11" spans="1:2" x14ac:dyDescent="0.35">
      <c r="A11" s="3">
        <v>2008</v>
      </c>
      <c r="B11" s="1">
        <v>21001</v>
      </c>
    </row>
    <row r="12" spans="1:2" x14ac:dyDescent="0.35">
      <c r="A12" s="3">
        <v>2009</v>
      </c>
      <c r="B12" s="1">
        <v>20928</v>
      </c>
    </row>
    <row r="13" spans="1:2" x14ac:dyDescent="0.35">
      <c r="A13" s="3">
        <v>2010</v>
      </c>
      <c r="B13" s="1">
        <v>21665</v>
      </c>
    </row>
    <row r="14" spans="1:2" x14ac:dyDescent="0.35">
      <c r="A14" s="3">
        <v>2011</v>
      </c>
      <c r="B14" s="1">
        <v>24206</v>
      </c>
    </row>
    <row r="15" spans="1:2" x14ac:dyDescent="0.35">
      <c r="A15" s="3">
        <v>2012</v>
      </c>
      <c r="B15" s="1">
        <v>24923</v>
      </c>
    </row>
    <row r="16" spans="1:2" x14ac:dyDescent="0.35">
      <c r="A16" s="3">
        <v>2013</v>
      </c>
      <c r="B16" s="1">
        <v>33707</v>
      </c>
    </row>
    <row r="17" spans="1:2" x14ac:dyDescent="0.35">
      <c r="A17" s="3">
        <v>2014</v>
      </c>
      <c r="B17" s="1">
        <v>36735</v>
      </c>
    </row>
    <row r="18" spans="1:2" x14ac:dyDescent="0.35">
      <c r="A18" s="3">
        <v>2015</v>
      </c>
      <c r="B18" s="1">
        <v>34651</v>
      </c>
    </row>
    <row r="19" spans="1:2" x14ac:dyDescent="0.35">
      <c r="A19" s="3">
        <v>2016</v>
      </c>
      <c r="B19" s="1">
        <v>38947</v>
      </c>
    </row>
    <row r="20" spans="1:2" x14ac:dyDescent="0.35">
      <c r="A20" s="3">
        <v>2017</v>
      </c>
      <c r="B20" s="1">
        <v>32559</v>
      </c>
    </row>
    <row r="21" spans="1:2" x14ac:dyDescent="0.35">
      <c r="A21" s="3">
        <v>2018</v>
      </c>
      <c r="B21" s="1">
        <v>33356</v>
      </c>
    </row>
    <row r="22" spans="1:2" x14ac:dyDescent="0.35">
      <c r="A22" s="3">
        <v>2019</v>
      </c>
      <c r="B22" s="1">
        <v>32033</v>
      </c>
    </row>
    <row r="23" spans="1:2" x14ac:dyDescent="0.35">
      <c r="A23" s="3">
        <v>2020</v>
      </c>
      <c r="B23" s="1">
        <v>28046</v>
      </c>
    </row>
    <row r="24" spans="1:2" x14ac:dyDescent="0.35">
      <c r="A24" s="3">
        <v>2021</v>
      </c>
      <c r="B24" s="1">
        <v>31677</v>
      </c>
    </row>
    <row r="25" spans="1:2" x14ac:dyDescent="0.35">
      <c r="A25" s="3" t="s">
        <v>81</v>
      </c>
      <c r="B25" s="1">
        <v>535702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5"/>
  <sheetViews>
    <sheetView workbookViewId="0">
      <selection activeCell="M10" sqref="M10"/>
    </sheetView>
  </sheetViews>
  <sheetFormatPr defaultRowHeight="14.5" x14ac:dyDescent="0.35"/>
  <cols>
    <col min="1" max="1" width="12.36328125" bestFit="1" customWidth="1"/>
    <col min="2" max="2" width="10.81640625" bestFit="1" customWidth="1"/>
  </cols>
  <sheetData>
    <row r="3" spans="1:2" x14ac:dyDescent="0.35">
      <c r="A3" s="2" t="s">
        <v>80</v>
      </c>
      <c r="B3" t="s">
        <v>82</v>
      </c>
    </row>
    <row r="4" spans="1:2" x14ac:dyDescent="0.35">
      <c r="A4" s="3">
        <v>2001</v>
      </c>
      <c r="B4" s="1">
        <v>13681</v>
      </c>
    </row>
    <row r="5" spans="1:2" x14ac:dyDescent="0.35">
      <c r="A5" s="3">
        <v>2002</v>
      </c>
      <c r="B5" s="1">
        <v>13613</v>
      </c>
    </row>
    <row r="6" spans="1:2" x14ac:dyDescent="0.35">
      <c r="A6" s="3">
        <v>2003</v>
      </c>
      <c r="B6" s="1">
        <v>12499</v>
      </c>
    </row>
    <row r="7" spans="1:2" x14ac:dyDescent="0.35">
      <c r="A7" s="3">
        <v>2004</v>
      </c>
      <c r="B7" s="1">
        <v>14697</v>
      </c>
    </row>
    <row r="8" spans="1:2" x14ac:dyDescent="0.35">
      <c r="A8" s="3">
        <v>2005</v>
      </c>
      <c r="B8" s="1">
        <v>14644</v>
      </c>
    </row>
    <row r="9" spans="1:2" x14ac:dyDescent="0.35">
      <c r="A9" s="3">
        <v>2006</v>
      </c>
      <c r="B9" s="1">
        <v>16348</v>
      </c>
    </row>
    <row r="10" spans="1:2" x14ac:dyDescent="0.35">
      <c r="A10" s="3">
        <v>2007</v>
      </c>
      <c r="B10" s="1">
        <v>19249</v>
      </c>
    </row>
    <row r="11" spans="1:2" x14ac:dyDescent="0.35">
      <c r="A11" s="3">
        <v>2008</v>
      </c>
      <c r="B11" s="1">
        <v>21803</v>
      </c>
    </row>
    <row r="12" spans="1:2" x14ac:dyDescent="0.35">
      <c r="A12" s="3">
        <v>2009</v>
      </c>
      <c r="B12" s="1">
        <v>24086</v>
      </c>
    </row>
    <row r="13" spans="1:2" x14ac:dyDescent="0.35">
      <c r="A13" s="3">
        <v>2010</v>
      </c>
      <c r="B13" s="1">
        <v>28055</v>
      </c>
    </row>
    <row r="14" spans="1:2" x14ac:dyDescent="0.35">
      <c r="A14" s="3">
        <v>2011</v>
      </c>
      <c r="B14" s="1">
        <v>35565</v>
      </c>
    </row>
    <row r="15" spans="1:2" x14ac:dyDescent="0.35">
      <c r="A15" s="3">
        <v>2012</v>
      </c>
      <c r="B15" s="1">
        <v>38262</v>
      </c>
    </row>
    <row r="16" spans="1:2" x14ac:dyDescent="0.35">
      <c r="A16" s="3">
        <v>2013</v>
      </c>
      <c r="B16" s="1">
        <v>51881</v>
      </c>
    </row>
    <row r="17" spans="1:2" x14ac:dyDescent="0.35">
      <c r="A17" s="3">
        <v>2014</v>
      </c>
      <c r="B17" s="1">
        <v>57311</v>
      </c>
    </row>
    <row r="18" spans="1:2" x14ac:dyDescent="0.35">
      <c r="A18" s="3">
        <v>2015</v>
      </c>
      <c r="B18" s="1">
        <v>59277</v>
      </c>
    </row>
    <row r="19" spans="1:2" x14ac:dyDescent="0.35">
      <c r="A19" s="3">
        <v>2016</v>
      </c>
      <c r="B19" s="1">
        <v>64519</v>
      </c>
    </row>
    <row r="20" spans="1:2" x14ac:dyDescent="0.35">
      <c r="A20" s="3">
        <v>2017</v>
      </c>
      <c r="B20" s="1">
        <v>66333</v>
      </c>
    </row>
    <row r="21" spans="1:2" x14ac:dyDescent="0.35">
      <c r="A21" s="3">
        <v>2018</v>
      </c>
      <c r="B21" s="1">
        <v>72751</v>
      </c>
    </row>
    <row r="22" spans="1:2" x14ac:dyDescent="0.35">
      <c r="A22" s="3">
        <v>2019</v>
      </c>
      <c r="B22" s="1">
        <v>72780</v>
      </c>
    </row>
    <row r="23" spans="1:2" x14ac:dyDescent="0.35">
      <c r="A23" s="3">
        <v>2020</v>
      </c>
      <c r="B23" s="1">
        <v>62300</v>
      </c>
    </row>
    <row r="24" spans="1:2" x14ac:dyDescent="0.35">
      <c r="A24" s="3">
        <v>2021</v>
      </c>
      <c r="B24" s="1">
        <v>75369</v>
      </c>
    </row>
    <row r="25" spans="1:2" x14ac:dyDescent="0.35">
      <c r="A25" s="3" t="s">
        <v>81</v>
      </c>
      <c r="B25" s="1">
        <v>835023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A622-1EA6-4496-B2B4-356796683DAF}">
  <dimension ref="A1:Y47"/>
  <sheetViews>
    <sheetView showGridLines="0" tabSelected="1" topLeftCell="A13" zoomScale="75" zoomScaleNormal="75" workbookViewId="0">
      <selection activeCell="Y32" sqref="Y32"/>
    </sheetView>
  </sheetViews>
  <sheetFormatPr defaultRowHeight="14.5" x14ac:dyDescent="0.35"/>
  <cols>
    <col min="12" max="12" width="10.08984375" customWidth="1"/>
  </cols>
  <sheetData>
    <row r="1" spans="1:25" x14ac:dyDescent="0.3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spans="1:25" x14ac:dyDescent="0.3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x14ac:dyDescent="0.3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x14ac:dyDescent="0.3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X22" s="4"/>
      <c r="Y22" s="4"/>
    </row>
    <row r="23" spans="1:25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X23" s="4"/>
      <c r="Y23" s="4"/>
    </row>
    <row r="24" spans="1:25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X24" s="4"/>
      <c r="Y24" s="4"/>
    </row>
    <row r="25" spans="1:25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X25" s="4"/>
      <c r="Y25" s="4"/>
    </row>
    <row r="26" spans="1:25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X26" s="4"/>
      <c r="Y26" s="4"/>
    </row>
    <row r="27" spans="1:25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X27" s="4"/>
      <c r="Y27" s="4"/>
    </row>
    <row r="28" spans="1:25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X28" s="4"/>
      <c r="Y28" s="4"/>
    </row>
    <row r="29" spans="1:25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X29" s="4"/>
      <c r="Y29" s="4"/>
    </row>
    <row r="30" spans="1:25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X30" s="4"/>
      <c r="Y30" s="4"/>
    </row>
    <row r="31" spans="1:25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X31" s="4"/>
      <c r="Y31" s="4"/>
    </row>
    <row r="32" spans="1:25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</sheetData>
  <mergeCells count="1">
    <mergeCell ref="A1:Y5"/>
  </mergeCells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5"/>
  <sheetViews>
    <sheetView workbookViewId="0">
      <selection activeCell="L13" sqref="L13"/>
    </sheetView>
  </sheetViews>
  <sheetFormatPr defaultRowHeight="14.5" x14ac:dyDescent="0.35"/>
  <cols>
    <col min="1" max="1" width="12.36328125" bestFit="1" customWidth="1"/>
    <col min="2" max="2" width="9.6328125" bestFit="1" customWidth="1"/>
  </cols>
  <sheetData>
    <row r="3" spans="1:2" x14ac:dyDescent="0.35">
      <c r="A3" s="2" t="s">
        <v>80</v>
      </c>
      <c r="B3" t="s">
        <v>83</v>
      </c>
    </row>
    <row r="4" spans="1:2" x14ac:dyDescent="0.35">
      <c r="A4" s="3">
        <v>2001</v>
      </c>
      <c r="B4" s="1">
        <v>6738</v>
      </c>
    </row>
    <row r="5" spans="1:2" x14ac:dyDescent="0.35">
      <c r="A5" s="3">
        <v>2002</v>
      </c>
      <c r="B5" s="1">
        <v>6687</v>
      </c>
    </row>
    <row r="6" spans="1:2" x14ac:dyDescent="0.35">
      <c r="A6" s="3">
        <v>2003</v>
      </c>
      <c r="B6" s="1">
        <v>6078</v>
      </c>
    </row>
    <row r="7" spans="1:2" x14ac:dyDescent="0.35">
      <c r="A7" s="3">
        <v>2004</v>
      </c>
      <c r="B7" s="1">
        <v>6900</v>
      </c>
    </row>
    <row r="8" spans="1:2" x14ac:dyDescent="0.35">
      <c r="A8" s="3">
        <v>2005</v>
      </c>
      <c r="B8" s="1">
        <v>6673</v>
      </c>
    </row>
    <row r="9" spans="1:2" x14ac:dyDescent="0.35">
      <c r="A9" s="3">
        <v>2006</v>
      </c>
      <c r="B9" s="1">
        <v>7481</v>
      </c>
    </row>
    <row r="10" spans="1:2" x14ac:dyDescent="0.35">
      <c r="A10" s="3">
        <v>2007</v>
      </c>
      <c r="B10" s="1">
        <v>7955</v>
      </c>
    </row>
    <row r="11" spans="1:2" x14ac:dyDescent="0.35">
      <c r="A11" s="3">
        <v>2008</v>
      </c>
      <c r="B11" s="1">
        <v>8043</v>
      </c>
    </row>
    <row r="12" spans="1:2" x14ac:dyDescent="0.35">
      <c r="A12" s="3">
        <v>2009</v>
      </c>
      <c r="B12" s="1">
        <v>8242</v>
      </c>
    </row>
    <row r="13" spans="1:2" x14ac:dyDescent="0.35">
      <c r="A13" s="3">
        <v>2010</v>
      </c>
      <c r="B13" s="1">
        <v>8248</v>
      </c>
    </row>
    <row r="14" spans="1:2" x14ac:dyDescent="0.35">
      <c r="A14" s="3">
        <v>2011</v>
      </c>
      <c r="B14" s="1">
        <v>8618</v>
      </c>
    </row>
    <row r="15" spans="1:2" x14ac:dyDescent="0.35">
      <c r="A15" s="3">
        <v>2012</v>
      </c>
      <c r="B15" s="1">
        <v>8233</v>
      </c>
    </row>
    <row r="16" spans="1:2" x14ac:dyDescent="0.35">
      <c r="A16" s="3">
        <v>2013</v>
      </c>
      <c r="B16" s="1">
        <v>8083</v>
      </c>
    </row>
    <row r="17" spans="1:2" x14ac:dyDescent="0.35">
      <c r="A17" s="3">
        <v>2014</v>
      </c>
      <c r="B17" s="1">
        <v>10050</v>
      </c>
    </row>
    <row r="18" spans="1:2" x14ac:dyDescent="0.35">
      <c r="A18" s="3">
        <v>2015</v>
      </c>
      <c r="B18" s="1">
        <v>7634</v>
      </c>
    </row>
    <row r="19" spans="1:2" x14ac:dyDescent="0.35">
      <c r="A19" s="3">
        <v>2016</v>
      </c>
      <c r="B19" s="1">
        <v>7621</v>
      </c>
    </row>
    <row r="20" spans="1:2" x14ac:dyDescent="0.35">
      <c r="A20" s="3">
        <v>2017</v>
      </c>
      <c r="B20" s="1">
        <v>7466</v>
      </c>
    </row>
    <row r="21" spans="1:2" x14ac:dyDescent="0.35">
      <c r="A21" s="3">
        <v>2018</v>
      </c>
      <c r="B21" s="1">
        <v>7166</v>
      </c>
    </row>
    <row r="22" spans="1:2" x14ac:dyDescent="0.35">
      <c r="A22" s="3">
        <v>2019</v>
      </c>
      <c r="B22" s="1">
        <v>7115</v>
      </c>
    </row>
    <row r="23" spans="1:2" x14ac:dyDescent="0.35">
      <c r="A23" s="3">
        <v>2020</v>
      </c>
      <c r="B23" s="1">
        <v>6966</v>
      </c>
    </row>
    <row r="24" spans="1:2" x14ac:dyDescent="0.35">
      <c r="A24" s="3">
        <v>2021</v>
      </c>
      <c r="B24" s="1">
        <v>6753</v>
      </c>
    </row>
    <row r="25" spans="1:2" x14ac:dyDescent="0.35">
      <c r="A25" s="3" t="s">
        <v>81</v>
      </c>
      <c r="B25" s="1">
        <v>158750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739FA-CC79-4A8F-9690-C78129BDF75B}">
  <dimension ref="A3:B25"/>
  <sheetViews>
    <sheetView workbookViewId="0">
      <selection activeCell="J19" sqref="J19"/>
    </sheetView>
  </sheetViews>
  <sheetFormatPr defaultRowHeight="14.5" x14ac:dyDescent="0.35"/>
  <cols>
    <col min="1" max="1" width="12.36328125" bestFit="1" customWidth="1"/>
    <col min="2" max="2" width="11.1796875" bestFit="1" customWidth="1"/>
  </cols>
  <sheetData>
    <row r="3" spans="1:2" x14ac:dyDescent="0.35">
      <c r="A3" s="2" t="s">
        <v>80</v>
      </c>
      <c r="B3" t="s">
        <v>84</v>
      </c>
    </row>
    <row r="4" spans="1:2" x14ac:dyDescent="0.35">
      <c r="A4" s="3">
        <v>2001</v>
      </c>
      <c r="B4" s="1">
        <v>33622</v>
      </c>
    </row>
    <row r="5" spans="1:2" x14ac:dyDescent="0.35">
      <c r="A5" s="3">
        <v>2002</v>
      </c>
      <c r="B5" s="1">
        <v>33497</v>
      </c>
    </row>
    <row r="6" spans="1:2" x14ac:dyDescent="0.35">
      <c r="A6" s="3">
        <v>2003</v>
      </c>
      <c r="B6" s="1">
        <v>32450</v>
      </c>
    </row>
    <row r="7" spans="1:2" x14ac:dyDescent="0.35">
      <c r="A7" s="3">
        <v>2004</v>
      </c>
      <c r="B7" s="1">
        <v>33966</v>
      </c>
    </row>
    <row r="8" spans="1:2" x14ac:dyDescent="0.35">
      <c r="A8" s="3">
        <v>2005</v>
      </c>
      <c r="B8" s="1">
        <v>33413</v>
      </c>
    </row>
    <row r="9" spans="1:2" x14ac:dyDescent="0.35">
      <c r="A9" s="3">
        <v>2006</v>
      </c>
      <c r="B9" s="1">
        <v>35899</v>
      </c>
    </row>
    <row r="10" spans="1:2" x14ac:dyDescent="0.35">
      <c r="A10" s="3">
        <v>2007</v>
      </c>
      <c r="B10" s="1">
        <v>37866</v>
      </c>
    </row>
    <row r="11" spans="1:2" x14ac:dyDescent="0.35">
      <c r="A11" s="3">
        <v>2008</v>
      </c>
      <c r="B11" s="1">
        <v>39802</v>
      </c>
    </row>
    <row r="12" spans="1:2" x14ac:dyDescent="0.35">
      <c r="A12" s="3">
        <v>2009</v>
      </c>
      <c r="B12" s="1">
        <v>38159</v>
      </c>
    </row>
    <row r="13" spans="1:2" x14ac:dyDescent="0.35">
      <c r="A13" s="3">
        <v>2010</v>
      </c>
      <c r="B13" s="1">
        <v>40012</v>
      </c>
    </row>
    <row r="14" spans="1:2" x14ac:dyDescent="0.35">
      <c r="A14" s="3">
        <v>2011</v>
      </c>
      <c r="B14" s="1">
        <v>0</v>
      </c>
    </row>
    <row r="15" spans="1:2" x14ac:dyDescent="0.35">
      <c r="A15" s="3">
        <v>2012</v>
      </c>
      <c r="B15" s="1">
        <v>45344</v>
      </c>
    </row>
    <row r="16" spans="1:2" x14ac:dyDescent="0.35">
      <c r="A16" s="3">
        <v>2013</v>
      </c>
      <c r="B16" s="1">
        <v>70739</v>
      </c>
    </row>
    <row r="17" spans="1:2" x14ac:dyDescent="0.35">
      <c r="A17" s="3">
        <v>2014</v>
      </c>
      <c r="B17" s="1">
        <v>82235</v>
      </c>
    </row>
    <row r="18" spans="1:2" x14ac:dyDescent="0.35">
      <c r="A18" s="3">
        <v>2015</v>
      </c>
      <c r="B18" s="1">
        <v>82422</v>
      </c>
    </row>
    <row r="19" spans="1:2" x14ac:dyDescent="0.35">
      <c r="A19" s="3">
        <v>2016</v>
      </c>
      <c r="B19" s="1">
        <v>84746</v>
      </c>
    </row>
    <row r="20" spans="1:2" x14ac:dyDescent="0.35">
      <c r="A20" s="3">
        <v>2017</v>
      </c>
      <c r="B20" s="1">
        <v>86001</v>
      </c>
    </row>
    <row r="21" spans="1:2" x14ac:dyDescent="0.35">
      <c r="A21" s="3">
        <v>2018</v>
      </c>
      <c r="B21" s="1">
        <v>89097</v>
      </c>
    </row>
    <row r="22" spans="1:2" x14ac:dyDescent="0.35">
      <c r="A22" s="3">
        <v>2019</v>
      </c>
      <c r="B22" s="1">
        <v>88367</v>
      </c>
    </row>
    <row r="23" spans="1:2" x14ac:dyDescent="0.35">
      <c r="A23" s="3">
        <v>2020</v>
      </c>
      <c r="B23" s="1">
        <v>85392</v>
      </c>
    </row>
    <row r="24" spans="1:2" x14ac:dyDescent="0.35">
      <c r="A24" s="3">
        <v>2021</v>
      </c>
      <c r="B24" s="1">
        <v>89200</v>
      </c>
    </row>
    <row r="25" spans="1:2" x14ac:dyDescent="0.35">
      <c r="A25" s="3" t="s">
        <v>81</v>
      </c>
      <c r="B25" s="1">
        <v>1162229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6070-2355-4207-85D1-681507B28583}">
  <dimension ref="A3:B25"/>
  <sheetViews>
    <sheetView workbookViewId="0">
      <selection activeCell="M4" sqref="M4"/>
    </sheetView>
  </sheetViews>
  <sheetFormatPr defaultRowHeight="14.5" x14ac:dyDescent="0.35"/>
  <cols>
    <col min="1" max="1" width="12.36328125" bestFit="1" customWidth="1"/>
    <col min="2" max="2" width="11.08984375" bestFit="1" customWidth="1"/>
  </cols>
  <sheetData>
    <row r="3" spans="1:2" x14ac:dyDescent="0.35">
      <c r="A3" s="2" t="s">
        <v>80</v>
      </c>
      <c r="B3" t="s">
        <v>85</v>
      </c>
    </row>
    <row r="4" spans="1:2" x14ac:dyDescent="0.35">
      <c r="A4" s="3">
        <v>2001</v>
      </c>
      <c r="B4" s="1">
        <v>9656</v>
      </c>
    </row>
    <row r="5" spans="1:2" x14ac:dyDescent="0.35">
      <c r="A5" s="3">
        <v>2002</v>
      </c>
      <c r="B5" s="1">
        <v>10027</v>
      </c>
    </row>
    <row r="6" spans="1:2" x14ac:dyDescent="0.35">
      <c r="A6" s="3">
        <v>2003</v>
      </c>
      <c r="B6" s="1">
        <v>12220</v>
      </c>
    </row>
    <row r="7" spans="1:2" x14ac:dyDescent="0.35">
      <c r="A7" s="3">
        <v>2004</v>
      </c>
      <c r="B7" s="1">
        <v>9871</v>
      </c>
    </row>
    <row r="8" spans="1:2" x14ac:dyDescent="0.35">
      <c r="A8" s="3">
        <v>2005</v>
      </c>
      <c r="B8" s="1">
        <v>9759</v>
      </c>
    </row>
    <row r="9" spans="1:2" x14ac:dyDescent="0.35">
      <c r="A9" s="3">
        <v>2006</v>
      </c>
      <c r="B9" s="1">
        <v>9822</v>
      </c>
    </row>
    <row r="10" spans="1:2" x14ac:dyDescent="0.35">
      <c r="A10" s="3">
        <v>2007</v>
      </c>
      <c r="B10" s="1">
        <v>10783</v>
      </c>
    </row>
    <row r="11" spans="1:2" x14ac:dyDescent="0.35">
      <c r="A11" s="3">
        <v>2008</v>
      </c>
      <c r="B11" s="1">
        <v>12084</v>
      </c>
    </row>
    <row r="12" spans="1:2" x14ac:dyDescent="0.35">
      <c r="A12" s="3">
        <v>2009</v>
      </c>
      <c r="B12" s="1">
        <v>10891</v>
      </c>
    </row>
    <row r="13" spans="1:2" x14ac:dyDescent="0.35">
      <c r="A13" s="3">
        <v>2010</v>
      </c>
      <c r="B13" s="1">
        <v>9881</v>
      </c>
    </row>
    <row r="14" spans="1:2" x14ac:dyDescent="0.35">
      <c r="A14" s="3">
        <v>2011</v>
      </c>
      <c r="B14" s="1">
        <v>8570</v>
      </c>
    </row>
    <row r="15" spans="1:2" x14ac:dyDescent="0.35">
      <c r="A15" s="3">
        <v>2012</v>
      </c>
      <c r="B15" s="1">
        <v>9173</v>
      </c>
    </row>
    <row r="16" spans="1:2" x14ac:dyDescent="0.35">
      <c r="A16" s="3">
        <v>2013</v>
      </c>
      <c r="B16" s="1">
        <v>12589</v>
      </c>
    </row>
    <row r="17" spans="1:2" x14ac:dyDescent="0.35">
      <c r="A17" s="3">
        <v>2014</v>
      </c>
      <c r="B17" s="1">
        <v>21938</v>
      </c>
    </row>
    <row r="18" spans="1:2" x14ac:dyDescent="0.35">
      <c r="A18" s="3">
        <v>2015</v>
      </c>
      <c r="B18" s="1">
        <v>24041</v>
      </c>
    </row>
    <row r="19" spans="1:2" x14ac:dyDescent="0.35">
      <c r="A19" s="3">
        <v>2016</v>
      </c>
      <c r="B19" s="1">
        <v>27344</v>
      </c>
    </row>
    <row r="20" spans="1:2" x14ac:dyDescent="0.35">
      <c r="A20" s="3">
        <v>2017</v>
      </c>
      <c r="B20" s="1">
        <v>7451</v>
      </c>
    </row>
    <row r="21" spans="1:2" x14ac:dyDescent="0.35">
      <c r="A21" s="3">
        <v>2018</v>
      </c>
      <c r="B21" s="1">
        <v>6992</v>
      </c>
    </row>
    <row r="22" spans="1:2" x14ac:dyDescent="0.35">
      <c r="A22" s="3">
        <v>2019</v>
      </c>
      <c r="B22" s="1">
        <v>6939</v>
      </c>
    </row>
    <row r="23" spans="1:2" x14ac:dyDescent="0.35">
      <c r="A23" s="3">
        <v>2020</v>
      </c>
      <c r="B23" s="1">
        <v>7065</v>
      </c>
    </row>
    <row r="24" spans="1:2" x14ac:dyDescent="0.35">
      <c r="A24" s="3">
        <v>2021</v>
      </c>
      <c r="B24" s="1">
        <v>7788</v>
      </c>
    </row>
    <row r="25" spans="1:2" x14ac:dyDescent="0.35">
      <c r="A25" s="3" t="s">
        <v>81</v>
      </c>
      <c r="B25" s="1">
        <v>244884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8935-0E7F-4372-83BC-F66B7E2556EE}">
  <dimension ref="A3:B25"/>
  <sheetViews>
    <sheetView workbookViewId="0">
      <selection activeCell="L12" sqref="L12"/>
    </sheetView>
  </sheetViews>
  <sheetFormatPr defaultRowHeight="14.5" x14ac:dyDescent="0.35"/>
  <cols>
    <col min="1" max="1" width="12.36328125" bestFit="1" customWidth="1"/>
    <col min="2" max="2" width="9.54296875" bestFit="1" customWidth="1"/>
  </cols>
  <sheetData>
    <row r="3" spans="1:2" x14ac:dyDescent="0.35">
      <c r="A3" s="2" t="s">
        <v>80</v>
      </c>
      <c r="B3" t="s">
        <v>86</v>
      </c>
    </row>
    <row r="4" spans="1:2" x14ac:dyDescent="0.35">
      <c r="A4" s="3">
        <v>2001</v>
      </c>
      <c r="B4" s="1">
        <v>49032</v>
      </c>
    </row>
    <row r="5" spans="1:2" x14ac:dyDescent="0.35">
      <c r="A5" s="3">
        <v>2002</v>
      </c>
      <c r="B5" s="1">
        <v>49102</v>
      </c>
    </row>
    <row r="6" spans="1:2" x14ac:dyDescent="0.35">
      <c r="A6" s="3">
        <v>2003</v>
      </c>
      <c r="B6" s="1">
        <v>49492</v>
      </c>
    </row>
    <row r="7" spans="1:2" x14ac:dyDescent="0.35">
      <c r="A7" s="3">
        <v>2004</v>
      </c>
      <c r="B7" s="1">
        <v>56867</v>
      </c>
    </row>
    <row r="8" spans="1:2" x14ac:dyDescent="0.35">
      <c r="A8" s="3">
        <v>2005</v>
      </c>
      <c r="B8" s="1">
        <v>56995</v>
      </c>
    </row>
    <row r="9" spans="1:2" x14ac:dyDescent="0.35">
      <c r="A9" s="3">
        <v>2006</v>
      </c>
      <c r="B9" s="1">
        <v>61400</v>
      </c>
    </row>
    <row r="10" spans="1:2" x14ac:dyDescent="0.35">
      <c r="A10" s="3">
        <v>2007</v>
      </c>
      <c r="B10" s="1">
        <v>74143</v>
      </c>
    </row>
    <row r="11" spans="1:2" x14ac:dyDescent="0.35">
      <c r="A11" s="3">
        <v>2008</v>
      </c>
      <c r="B11" s="1">
        <v>79957</v>
      </c>
    </row>
    <row r="12" spans="1:2" x14ac:dyDescent="0.35">
      <c r="A12" s="3">
        <v>2009</v>
      </c>
      <c r="B12" s="1">
        <v>88263</v>
      </c>
    </row>
    <row r="13" spans="1:2" x14ac:dyDescent="0.35">
      <c r="A13" s="3">
        <v>2010</v>
      </c>
      <c r="B13" s="1">
        <v>92637</v>
      </c>
    </row>
    <row r="14" spans="1:2" x14ac:dyDescent="0.35">
      <c r="A14" s="3">
        <v>2011</v>
      </c>
      <c r="B14" s="1">
        <v>99135</v>
      </c>
    </row>
    <row r="15" spans="1:2" x14ac:dyDescent="0.35">
      <c r="A15" s="3">
        <v>2012</v>
      </c>
      <c r="B15" s="1">
        <v>106527</v>
      </c>
    </row>
    <row r="16" spans="1:2" x14ac:dyDescent="0.35">
      <c r="A16" s="3">
        <v>2013</v>
      </c>
      <c r="B16" s="1">
        <v>118866</v>
      </c>
    </row>
    <row r="17" spans="1:2" x14ac:dyDescent="0.35">
      <c r="A17" s="3">
        <v>2014</v>
      </c>
      <c r="B17" s="1">
        <v>122877</v>
      </c>
    </row>
    <row r="18" spans="1:2" x14ac:dyDescent="0.35">
      <c r="A18" s="3">
        <v>2015</v>
      </c>
      <c r="B18" s="1">
        <v>113403</v>
      </c>
    </row>
    <row r="19" spans="1:2" x14ac:dyDescent="0.35">
      <c r="A19" s="3">
        <v>2016</v>
      </c>
      <c r="B19" s="1">
        <v>110378</v>
      </c>
    </row>
    <row r="20" spans="1:2" x14ac:dyDescent="0.35">
      <c r="A20" s="3">
        <v>2017</v>
      </c>
      <c r="B20" s="1">
        <v>104551</v>
      </c>
    </row>
    <row r="21" spans="1:2" x14ac:dyDescent="0.35">
      <c r="A21" s="3">
        <v>2018</v>
      </c>
      <c r="B21" s="1">
        <v>103272</v>
      </c>
    </row>
    <row r="22" spans="1:2" x14ac:dyDescent="0.35">
      <c r="A22" s="3">
        <v>2019</v>
      </c>
      <c r="B22" s="1">
        <v>125298</v>
      </c>
    </row>
    <row r="23" spans="1:2" x14ac:dyDescent="0.35">
      <c r="A23" s="3">
        <v>2020</v>
      </c>
      <c r="B23" s="1">
        <v>111549</v>
      </c>
    </row>
    <row r="24" spans="1:2" x14ac:dyDescent="0.35">
      <c r="A24" s="3">
        <v>2021</v>
      </c>
      <c r="B24" s="1">
        <v>136234</v>
      </c>
    </row>
    <row r="25" spans="1:2" x14ac:dyDescent="0.35">
      <c r="A25" s="3" t="s">
        <v>81</v>
      </c>
      <c r="B25" s="1">
        <v>1909978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F812-C202-4DB1-B7B7-4AAC908700AA}">
  <dimension ref="A3:B25"/>
  <sheetViews>
    <sheetView workbookViewId="0">
      <selection activeCell="N10" sqref="N10"/>
    </sheetView>
  </sheetViews>
  <sheetFormatPr defaultRowHeight="14.5" x14ac:dyDescent="0.35"/>
  <cols>
    <col min="1" max="1" width="12.36328125" bestFit="1" customWidth="1"/>
    <col min="2" max="2" width="9.90625" bestFit="1" customWidth="1"/>
  </cols>
  <sheetData>
    <row r="3" spans="1:2" x14ac:dyDescent="0.35">
      <c r="A3" s="2" t="s">
        <v>80</v>
      </c>
      <c r="B3" t="s">
        <v>87</v>
      </c>
    </row>
    <row r="4" spans="1:2" x14ac:dyDescent="0.35">
      <c r="A4" s="3">
        <v>2001</v>
      </c>
      <c r="B4" s="1">
        <v>114</v>
      </c>
    </row>
    <row r="5" spans="1:2" x14ac:dyDescent="0.35">
      <c r="A5" s="3">
        <v>2002</v>
      </c>
      <c r="B5" s="1">
        <v>76</v>
      </c>
    </row>
    <row r="6" spans="1:2" x14ac:dyDescent="0.35">
      <c r="A6" s="3">
        <v>2003</v>
      </c>
      <c r="B6" s="1">
        <v>46</v>
      </c>
    </row>
    <row r="7" spans="1:2" x14ac:dyDescent="0.35">
      <c r="A7" s="3">
        <v>2004</v>
      </c>
      <c r="B7" s="1">
        <v>89</v>
      </c>
    </row>
    <row r="8" spans="1:2" x14ac:dyDescent="0.35">
      <c r="A8" s="3">
        <v>2005</v>
      </c>
      <c r="B8" s="1">
        <v>148</v>
      </c>
    </row>
    <row r="9" spans="1:2" x14ac:dyDescent="0.35">
      <c r="A9" s="3">
        <v>2006</v>
      </c>
      <c r="B9" s="1">
        <v>67</v>
      </c>
    </row>
    <row r="10" spans="1:2" x14ac:dyDescent="0.35">
      <c r="A10" s="3">
        <v>2007</v>
      </c>
      <c r="B10" s="1">
        <v>61</v>
      </c>
    </row>
    <row r="11" spans="1:2" x14ac:dyDescent="0.35">
      <c r="A11" s="3">
        <v>2008</v>
      </c>
      <c r="B11" s="1">
        <v>67</v>
      </c>
    </row>
    <row r="12" spans="1:2" x14ac:dyDescent="0.35">
      <c r="A12" s="3">
        <v>2009</v>
      </c>
      <c r="B12" s="1">
        <v>48</v>
      </c>
    </row>
    <row r="13" spans="1:2" x14ac:dyDescent="0.35">
      <c r="A13" s="3">
        <v>2010</v>
      </c>
      <c r="B13" s="1">
        <v>36</v>
      </c>
    </row>
    <row r="14" spans="1:2" x14ac:dyDescent="0.35">
      <c r="A14" s="3">
        <v>2011</v>
      </c>
      <c r="B14" s="1">
        <v>2435</v>
      </c>
    </row>
    <row r="15" spans="1:2" x14ac:dyDescent="0.35">
      <c r="A15" s="3">
        <v>2012</v>
      </c>
      <c r="B15" s="1">
        <v>2563</v>
      </c>
    </row>
    <row r="16" spans="1:2" x14ac:dyDescent="0.35">
      <c r="A16" s="3">
        <v>2013</v>
      </c>
      <c r="B16" s="1">
        <v>2579</v>
      </c>
    </row>
    <row r="17" spans="1:2" x14ac:dyDescent="0.35">
      <c r="A17" s="3">
        <v>2014</v>
      </c>
      <c r="B17" s="1">
        <v>2070</v>
      </c>
    </row>
    <row r="18" spans="1:2" x14ac:dyDescent="0.35">
      <c r="A18" s="3">
        <v>2015</v>
      </c>
      <c r="B18" s="1">
        <v>2424</v>
      </c>
    </row>
    <row r="19" spans="1:2" x14ac:dyDescent="0.35">
      <c r="A19" s="3">
        <v>2016</v>
      </c>
      <c r="B19" s="1">
        <v>2214</v>
      </c>
    </row>
    <row r="20" spans="1:2" x14ac:dyDescent="0.35">
      <c r="A20" s="3">
        <v>2017</v>
      </c>
      <c r="B20" s="1">
        <v>1536</v>
      </c>
    </row>
    <row r="21" spans="1:2" x14ac:dyDescent="0.35">
      <c r="A21" s="3">
        <v>2018</v>
      </c>
      <c r="B21" s="1">
        <v>1459</v>
      </c>
    </row>
    <row r="22" spans="1:2" x14ac:dyDescent="0.35">
      <c r="A22" s="3">
        <v>2019</v>
      </c>
      <c r="B22" s="1">
        <v>1185</v>
      </c>
    </row>
    <row r="23" spans="1:2" x14ac:dyDescent="0.35">
      <c r="A23" s="3">
        <v>2020</v>
      </c>
      <c r="B23" s="1">
        <v>868</v>
      </c>
    </row>
    <row r="24" spans="1:2" x14ac:dyDescent="0.35">
      <c r="A24" s="3">
        <v>2021</v>
      </c>
      <c r="B24" s="1">
        <v>1071</v>
      </c>
    </row>
    <row r="25" spans="1:2" x14ac:dyDescent="0.35">
      <c r="A25" s="3" t="s">
        <v>81</v>
      </c>
      <c r="B25" s="1">
        <v>21156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4477C-5C9D-4C78-A3E5-3E9DD3E88F5A}">
  <dimension ref="A3:B14"/>
  <sheetViews>
    <sheetView workbookViewId="0">
      <selection activeCell="M23" sqref="M23"/>
    </sheetView>
  </sheetViews>
  <sheetFormatPr defaultRowHeight="14.5" x14ac:dyDescent="0.35"/>
  <cols>
    <col min="1" max="1" width="14.90625" bestFit="1" customWidth="1"/>
    <col min="2" max="2" width="18.54296875" bestFit="1" customWidth="1"/>
  </cols>
  <sheetData>
    <row r="3" spans="1:2" x14ac:dyDescent="0.35">
      <c r="A3" s="2" t="s">
        <v>80</v>
      </c>
      <c r="B3" t="s">
        <v>89</v>
      </c>
    </row>
    <row r="4" spans="1:2" x14ac:dyDescent="0.35">
      <c r="A4" s="3" t="s">
        <v>43</v>
      </c>
      <c r="B4" s="1">
        <v>391123</v>
      </c>
    </row>
    <row r="5" spans="1:2" x14ac:dyDescent="0.35">
      <c r="A5" s="3" t="s">
        <v>45</v>
      </c>
      <c r="B5" s="1">
        <v>291980</v>
      </c>
    </row>
    <row r="6" spans="1:2" x14ac:dyDescent="0.35">
      <c r="A6" s="3" t="s">
        <v>46</v>
      </c>
      <c r="B6" s="1">
        <v>189886</v>
      </c>
    </row>
    <row r="7" spans="1:2" x14ac:dyDescent="0.35">
      <c r="A7" s="3" t="s">
        <v>55</v>
      </c>
      <c r="B7" s="1">
        <v>202986</v>
      </c>
    </row>
    <row r="8" spans="1:2" x14ac:dyDescent="0.35">
      <c r="A8" s="3" t="s">
        <v>56</v>
      </c>
      <c r="B8" s="1">
        <v>413157</v>
      </c>
    </row>
    <row r="9" spans="1:2" x14ac:dyDescent="0.35">
      <c r="A9" s="3" t="s">
        <v>57</v>
      </c>
      <c r="B9" s="1">
        <v>365632</v>
      </c>
    </row>
    <row r="10" spans="1:2" x14ac:dyDescent="0.35">
      <c r="A10" s="3" t="s">
        <v>62</v>
      </c>
      <c r="B10" s="1">
        <v>194774</v>
      </c>
    </row>
    <row r="11" spans="1:2" x14ac:dyDescent="0.35">
      <c r="A11" s="3" t="s">
        <v>64</v>
      </c>
      <c r="B11" s="1">
        <v>379264</v>
      </c>
    </row>
    <row r="12" spans="1:2" x14ac:dyDescent="0.35">
      <c r="A12" s="3" t="s">
        <v>69</v>
      </c>
      <c r="B12" s="1">
        <v>529734</v>
      </c>
    </row>
    <row r="13" spans="1:2" x14ac:dyDescent="0.35">
      <c r="A13" s="3" t="s">
        <v>71</v>
      </c>
      <c r="B13" s="1">
        <v>409242</v>
      </c>
    </row>
    <row r="14" spans="1:2" x14ac:dyDescent="0.35">
      <c r="A14" s="3" t="s">
        <v>81</v>
      </c>
      <c r="B14" s="1">
        <v>3367778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96345-3F94-4368-A1F3-0A66078A20D0}">
  <dimension ref="A3:B25"/>
  <sheetViews>
    <sheetView workbookViewId="0">
      <selection activeCell="E4" sqref="E4"/>
    </sheetView>
  </sheetViews>
  <sheetFormatPr defaultRowHeight="14.5" x14ac:dyDescent="0.35"/>
  <cols>
    <col min="1" max="1" width="12.36328125" bestFit="1" customWidth="1"/>
    <col min="2" max="2" width="18.54296875" bestFit="1" customWidth="1"/>
  </cols>
  <sheetData>
    <row r="3" spans="1:2" x14ac:dyDescent="0.35">
      <c r="A3" s="2" t="s">
        <v>80</v>
      </c>
      <c r="B3" t="s">
        <v>89</v>
      </c>
    </row>
    <row r="4" spans="1:2" x14ac:dyDescent="0.35">
      <c r="A4" s="3">
        <v>2001</v>
      </c>
      <c r="B4" s="1">
        <v>128537</v>
      </c>
    </row>
    <row r="5" spans="1:2" x14ac:dyDescent="0.35">
      <c r="A5" s="3">
        <v>2002</v>
      </c>
      <c r="B5" s="1">
        <v>128972</v>
      </c>
    </row>
    <row r="6" spans="1:2" x14ac:dyDescent="0.35">
      <c r="A6" s="3">
        <v>2003</v>
      </c>
      <c r="B6" s="1">
        <v>128142</v>
      </c>
    </row>
    <row r="7" spans="1:2" x14ac:dyDescent="0.35">
      <c r="A7" s="3">
        <v>2004</v>
      </c>
      <c r="B7" s="1">
        <v>140072</v>
      </c>
    </row>
    <row r="8" spans="1:2" x14ac:dyDescent="0.35">
      <c r="A8" s="3">
        <v>2005</v>
      </c>
      <c r="B8" s="1">
        <v>139333</v>
      </c>
    </row>
    <row r="9" spans="1:2" x14ac:dyDescent="0.35">
      <c r="A9" s="3">
        <v>2006</v>
      </c>
      <c r="B9" s="1">
        <v>149742</v>
      </c>
    </row>
    <row r="10" spans="1:2" x14ac:dyDescent="0.35">
      <c r="A10" s="3">
        <v>2007</v>
      </c>
      <c r="B10" s="1">
        <v>170196</v>
      </c>
    </row>
    <row r="11" spans="1:2" x14ac:dyDescent="0.35">
      <c r="A11" s="3">
        <v>2008</v>
      </c>
      <c r="B11" s="1">
        <v>182757</v>
      </c>
    </row>
    <row r="12" spans="1:2" x14ac:dyDescent="0.35">
      <c r="A12" s="3">
        <v>2009</v>
      </c>
      <c r="B12" s="1">
        <v>190617</v>
      </c>
    </row>
    <row r="13" spans="1:2" x14ac:dyDescent="0.35">
      <c r="A13" s="3">
        <v>2010</v>
      </c>
      <c r="B13" s="1">
        <v>200534</v>
      </c>
    </row>
    <row r="14" spans="1:2" x14ac:dyDescent="0.35">
      <c r="A14" s="3">
        <v>2011</v>
      </c>
      <c r="B14" s="1">
        <v>178529</v>
      </c>
    </row>
    <row r="15" spans="1:2" x14ac:dyDescent="0.35">
      <c r="A15" s="3">
        <v>2012</v>
      </c>
      <c r="B15" s="1">
        <v>235025</v>
      </c>
    </row>
    <row r="16" spans="1:2" x14ac:dyDescent="0.35">
      <c r="A16" s="3">
        <v>2013</v>
      </c>
      <c r="B16" s="1">
        <v>298444</v>
      </c>
    </row>
    <row r="17" spans="1:2" x14ac:dyDescent="0.35">
      <c r="A17" s="3">
        <v>2014</v>
      </c>
      <c r="B17" s="1">
        <v>333216</v>
      </c>
    </row>
    <row r="18" spans="1:2" x14ac:dyDescent="0.35">
      <c r="A18" s="3">
        <v>2015</v>
      </c>
      <c r="B18" s="1">
        <v>323852</v>
      </c>
    </row>
    <row r="19" spans="1:2" x14ac:dyDescent="0.35">
      <c r="A19" s="3">
        <v>2016</v>
      </c>
      <c r="B19" s="1">
        <v>335769</v>
      </c>
    </row>
    <row r="20" spans="1:2" x14ac:dyDescent="0.35">
      <c r="A20" s="3">
        <v>2017</v>
      </c>
      <c r="B20" s="1">
        <v>305897</v>
      </c>
    </row>
    <row r="21" spans="1:2" x14ac:dyDescent="0.35">
      <c r="A21" s="3">
        <v>2018</v>
      </c>
      <c r="B21" s="1">
        <v>314093</v>
      </c>
    </row>
    <row r="22" spans="1:2" x14ac:dyDescent="0.35">
      <c r="A22" s="3">
        <v>2019</v>
      </c>
      <c r="B22" s="1">
        <v>333717</v>
      </c>
    </row>
    <row r="23" spans="1:2" x14ac:dyDescent="0.35">
      <c r="A23" s="3">
        <v>2020</v>
      </c>
      <c r="B23" s="1">
        <v>302186</v>
      </c>
    </row>
    <row r="24" spans="1:2" x14ac:dyDescent="0.35">
      <c r="A24" s="3">
        <v>2021</v>
      </c>
      <c r="B24" s="1">
        <v>348092</v>
      </c>
    </row>
    <row r="25" spans="1:2" x14ac:dyDescent="0.35">
      <c r="A25" s="3" t="s">
        <v>81</v>
      </c>
      <c r="B25" s="1">
        <v>4867722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37"/>
  <sheetViews>
    <sheetView workbookViewId="0">
      <selection activeCell="B5" sqref="B5"/>
    </sheetView>
  </sheetViews>
  <sheetFormatPr defaultRowHeight="14.5" x14ac:dyDescent="0.35"/>
  <cols>
    <col min="1" max="1" width="20.1796875" customWidth="1"/>
    <col min="2" max="2" width="22.90625" customWidth="1"/>
    <col min="3" max="3" width="22" customWidth="1"/>
    <col min="4" max="4" width="23.26953125" customWidth="1"/>
    <col min="5" max="5" width="20.36328125" customWidth="1"/>
    <col min="6" max="6" width="13.6328125" customWidth="1"/>
    <col min="7" max="7" width="15.26953125" customWidth="1"/>
    <col min="8" max="8" width="17" customWidth="1"/>
    <col min="9" max="9" width="13.08984375" customWidth="1"/>
    <col min="10" max="10" width="15.36328125" customWidth="1"/>
    <col min="11" max="11" width="17.6328125" customWidth="1"/>
    <col min="12" max="12" width="15.7265625" style="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88</v>
      </c>
      <c r="L1"/>
    </row>
    <row r="2" spans="1:12" x14ac:dyDescent="0.35">
      <c r="A2" t="s">
        <v>34</v>
      </c>
      <c r="B2">
        <v>2001</v>
      </c>
      <c r="C2">
        <v>1958</v>
      </c>
      <c r="D2">
        <v>2879</v>
      </c>
      <c r="E2">
        <v>2211</v>
      </c>
      <c r="F2">
        <v>2870</v>
      </c>
      <c r="G2">
        <v>2575</v>
      </c>
      <c r="H2">
        <v>7365</v>
      </c>
      <c r="I2">
        <v>0</v>
      </c>
      <c r="J2">
        <f>SUM(C2:I2)</f>
        <v>19858</v>
      </c>
      <c r="L2"/>
    </row>
    <row r="3" spans="1:12" x14ac:dyDescent="0.35">
      <c r="A3" t="s">
        <v>22</v>
      </c>
      <c r="B3">
        <v>2001</v>
      </c>
      <c r="C3">
        <v>2851</v>
      </c>
      <c r="D3">
        <v>668</v>
      </c>
      <c r="E3">
        <v>609</v>
      </c>
      <c r="F3">
        <v>7063</v>
      </c>
      <c r="G3">
        <v>751</v>
      </c>
      <c r="H3">
        <v>2562</v>
      </c>
      <c r="I3">
        <v>0</v>
      </c>
      <c r="J3">
        <f>SUM(C3:I3)</f>
        <v>14504</v>
      </c>
      <c r="L3"/>
    </row>
    <row r="4" spans="1:12" x14ac:dyDescent="0.35">
      <c r="A4" t="s">
        <v>9</v>
      </c>
      <c r="B4">
        <v>2001</v>
      </c>
      <c r="C4">
        <v>871</v>
      </c>
      <c r="D4">
        <v>765</v>
      </c>
      <c r="E4">
        <v>420</v>
      </c>
      <c r="F4">
        <v>3544</v>
      </c>
      <c r="G4">
        <v>2271</v>
      </c>
      <c r="H4">
        <v>5791</v>
      </c>
      <c r="I4">
        <v>7</v>
      </c>
      <c r="J4">
        <f>SUM(C4:I4)</f>
        <v>13669</v>
      </c>
      <c r="L4"/>
    </row>
    <row r="5" spans="1:12" x14ac:dyDescent="0.35">
      <c r="A5" t="s">
        <v>23</v>
      </c>
      <c r="B5">
        <v>2001</v>
      </c>
      <c r="C5">
        <v>1302</v>
      </c>
      <c r="D5">
        <v>611</v>
      </c>
      <c r="E5">
        <v>308</v>
      </c>
      <c r="F5">
        <v>2823</v>
      </c>
      <c r="G5">
        <v>1120</v>
      </c>
      <c r="H5">
        <v>6090</v>
      </c>
      <c r="I5">
        <v>1</v>
      </c>
      <c r="J5">
        <f>SUM(C5:I5)</f>
        <v>12255</v>
      </c>
      <c r="L5"/>
    </row>
    <row r="6" spans="1:12" x14ac:dyDescent="0.35">
      <c r="A6" t="s">
        <v>30</v>
      </c>
      <c r="B6">
        <v>2001</v>
      </c>
      <c r="C6">
        <v>1049</v>
      </c>
      <c r="D6">
        <v>2165</v>
      </c>
      <c r="E6">
        <v>376</v>
      </c>
      <c r="F6">
        <v>2878</v>
      </c>
      <c r="G6">
        <v>56</v>
      </c>
      <c r="H6">
        <v>5532</v>
      </c>
      <c r="I6">
        <v>1</v>
      </c>
      <c r="J6">
        <f>SUM(C6:I6)</f>
        <v>12057</v>
      </c>
      <c r="L6"/>
    </row>
    <row r="7" spans="1:12" x14ac:dyDescent="0.35">
      <c r="A7" t="s">
        <v>36</v>
      </c>
      <c r="B7">
        <v>2001</v>
      </c>
      <c r="C7">
        <v>709</v>
      </c>
      <c r="D7">
        <v>695</v>
      </c>
      <c r="E7">
        <v>265</v>
      </c>
      <c r="F7">
        <v>954</v>
      </c>
      <c r="G7">
        <v>48</v>
      </c>
      <c r="H7">
        <v>3859</v>
      </c>
      <c r="I7">
        <v>3</v>
      </c>
      <c r="J7">
        <f>SUM(C7:I7)</f>
        <v>6533</v>
      </c>
      <c r="L7"/>
    </row>
    <row r="8" spans="1:12" x14ac:dyDescent="0.35">
      <c r="A8" t="s">
        <v>15</v>
      </c>
      <c r="B8">
        <v>2001</v>
      </c>
      <c r="C8">
        <v>286</v>
      </c>
      <c r="D8">
        <v>857</v>
      </c>
      <c r="E8">
        <v>67</v>
      </c>
      <c r="F8">
        <v>756</v>
      </c>
      <c r="G8">
        <v>111</v>
      </c>
      <c r="H8">
        <v>3667</v>
      </c>
      <c r="I8">
        <v>0</v>
      </c>
      <c r="J8">
        <f>SUM(C8:I8)</f>
        <v>5744</v>
      </c>
      <c r="L8"/>
    </row>
    <row r="9" spans="1:12" x14ac:dyDescent="0.35">
      <c r="A9" t="s">
        <v>21</v>
      </c>
      <c r="B9">
        <v>2001</v>
      </c>
      <c r="C9">
        <v>562</v>
      </c>
      <c r="D9">
        <v>97</v>
      </c>
      <c r="E9">
        <v>27</v>
      </c>
      <c r="F9">
        <v>1942</v>
      </c>
      <c r="G9">
        <v>81</v>
      </c>
      <c r="H9">
        <v>2561</v>
      </c>
      <c r="I9">
        <v>0</v>
      </c>
      <c r="J9">
        <f>SUM(C9:I9)</f>
        <v>5270</v>
      </c>
      <c r="L9"/>
    </row>
    <row r="10" spans="1:12" x14ac:dyDescent="0.35">
      <c r="A10" t="s">
        <v>28</v>
      </c>
      <c r="B10">
        <v>2001</v>
      </c>
      <c r="C10">
        <v>790</v>
      </c>
      <c r="D10">
        <v>434</v>
      </c>
      <c r="E10">
        <v>294</v>
      </c>
      <c r="F10">
        <v>1655</v>
      </c>
      <c r="G10">
        <v>458</v>
      </c>
      <c r="H10">
        <v>1266</v>
      </c>
      <c r="I10">
        <v>0</v>
      </c>
      <c r="J10">
        <f>SUM(C10:I10)</f>
        <v>4897</v>
      </c>
      <c r="L10"/>
    </row>
    <row r="11" spans="1:12" x14ac:dyDescent="0.35">
      <c r="A11" t="s">
        <v>32</v>
      </c>
      <c r="B11">
        <v>2001</v>
      </c>
      <c r="C11">
        <v>423</v>
      </c>
      <c r="D11">
        <v>607</v>
      </c>
      <c r="E11">
        <v>191</v>
      </c>
      <c r="F11">
        <v>1773</v>
      </c>
      <c r="G11">
        <v>1012</v>
      </c>
      <c r="H11">
        <v>815</v>
      </c>
      <c r="I11">
        <v>14</v>
      </c>
      <c r="J11">
        <f>SUM(C11:I11)</f>
        <v>4835</v>
      </c>
      <c r="L11"/>
    </row>
    <row r="12" spans="1:12" x14ac:dyDescent="0.35">
      <c r="A12" t="s">
        <v>12</v>
      </c>
      <c r="B12">
        <v>2001</v>
      </c>
      <c r="C12">
        <v>888</v>
      </c>
      <c r="D12">
        <v>518</v>
      </c>
      <c r="E12">
        <v>859</v>
      </c>
      <c r="F12">
        <v>562</v>
      </c>
      <c r="G12">
        <v>21</v>
      </c>
      <c r="H12">
        <v>1558</v>
      </c>
      <c r="I12">
        <v>83</v>
      </c>
      <c r="J12">
        <f>SUM(C12:I12)</f>
        <v>4489</v>
      </c>
      <c r="L12"/>
    </row>
    <row r="13" spans="1:12" x14ac:dyDescent="0.35">
      <c r="A13" t="s">
        <v>20</v>
      </c>
      <c r="B13">
        <v>2001</v>
      </c>
      <c r="C13">
        <v>293</v>
      </c>
      <c r="D13">
        <v>271</v>
      </c>
      <c r="E13">
        <v>220</v>
      </c>
      <c r="F13">
        <v>1665</v>
      </c>
      <c r="G13">
        <v>81</v>
      </c>
      <c r="H13">
        <v>1755</v>
      </c>
      <c r="I13">
        <v>0</v>
      </c>
      <c r="J13">
        <f>SUM(C13:I13)</f>
        <v>4285</v>
      </c>
      <c r="L13"/>
    </row>
    <row r="14" spans="1:12" x14ac:dyDescent="0.35">
      <c r="A14" t="s">
        <v>11</v>
      </c>
      <c r="B14">
        <v>2001</v>
      </c>
      <c r="C14">
        <v>817</v>
      </c>
      <c r="D14">
        <v>1070</v>
      </c>
      <c r="E14">
        <v>59</v>
      </c>
      <c r="F14">
        <v>850</v>
      </c>
      <c r="G14">
        <v>4</v>
      </c>
      <c r="H14">
        <v>1248</v>
      </c>
      <c r="I14">
        <v>0</v>
      </c>
      <c r="J14">
        <f>SUM(C14:I14)</f>
        <v>4048</v>
      </c>
      <c r="L14"/>
    </row>
    <row r="15" spans="1:12" x14ac:dyDescent="0.35">
      <c r="A15" t="s">
        <v>13</v>
      </c>
      <c r="B15">
        <v>2001</v>
      </c>
      <c r="C15">
        <v>959</v>
      </c>
      <c r="D15">
        <v>171</v>
      </c>
      <c r="E15">
        <v>70</v>
      </c>
      <c r="F15">
        <v>1763</v>
      </c>
      <c r="G15">
        <v>161</v>
      </c>
      <c r="H15">
        <v>840</v>
      </c>
      <c r="I15">
        <v>0</v>
      </c>
      <c r="J15">
        <f>SUM(C15:I15)</f>
        <v>3964</v>
      </c>
      <c r="L15"/>
    </row>
    <row r="16" spans="1:12" x14ac:dyDescent="0.35">
      <c r="A16" t="s">
        <v>16</v>
      </c>
      <c r="B16">
        <v>2001</v>
      </c>
      <c r="C16">
        <v>398</v>
      </c>
      <c r="D16">
        <v>297</v>
      </c>
      <c r="E16">
        <v>285</v>
      </c>
      <c r="F16">
        <v>478</v>
      </c>
      <c r="G16">
        <v>401</v>
      </c>
      <c r="H16">
        <v>1513</v>
      </c>
      <c r="I16">
        <v>0</v>
      </c>
      <c r="J16">
        <f>SUM(C16:I16)</f>
        <v>3372</v>
      </c>
      <c r="L16"/>
    </row>
    <row r="17" spans="1:12" x14ac:dyDescent="0.35">
      <c r="A17" t="s">
        <v>29</v>
      </c>
      <c r="B17">
        <v>2001</v>
      </c>
      <c r="C17">
        <v>298</v>
      </c>
      <c r="D17">
        <v>324</v>
      </c>
      <c r="E17">
        <v>159</v>
      </c>
      <c r="F17">
        <v>372</v>
      </c>
      <c r="G17">
        <v>47</v>
      </c>
      <c r="H17">
        <v>1128</v>
      </c>
      <c r="I17">
        <v>0</v>
      </c>
      <c r="J17">
        <f>SUM(C17:I17)</f>
        <v>2328</v>
      </c>
      <c r="L17"/>
    </row>
    <row r="18" spans="1:12" x14ac:dyDescent="0.35">
      <c r="A18" t="s">
        <v>19</v>
      </c>
      <c r="B18">
        <v>2001</v>
      </c>
      <c r="C18">
        <v>567</v>
      </c>
      <c r="D18">
        <v>279</v>
      </c>
      <c r="E18">
        <v>217</v>
      </c>
      <c r="F18">
        <v>297</v>
      </c>
      <c r="G18">
        <v>5</v>
      </c>
      <c r="H18">
        <v>484</v>
      </c>
      <c r="I18">
        <v>2</v>
      </c>
      <c r="J18">
        <f>SUM(C18:I18)</f>
        <v>1851</v>
      </c>
      <c r="L18"/>
    </row>
    <row r="19" spans="1:12" x14ac:dyDescent="0.35">
      <c r="A19" t="s">
        <v>18</v>
      </c>
      <c r="B19">
        <v>2001</v>
      </c>
      <c r="C19">
        <v>169</v>
      </c>
      <c r="D19">
        <v>504</v>
      </c>
      <c r="E19">
        <v>13</v>
      </c>
      <c r="F19">
        <v>622</v>
      </c>
      <c r="G19">
        <v>288</v>
      </c>
      <c r="H19">
        <v>50</v>
      </c>
      <c r="I19">
        <v>0</v>
      </c>
      <c r="J19">
        <f>SUM(C19:I19)</f>
        <v>1646</v>
      </c>
      <c r="L19"/>
    </row>
    <row r="20" spans="1:12" x14ac:dyDescent="0.35">
      <c r="A20" t="s">
        <v>17</v>
      </c>
      <c r="B20">
        <v>2001</v>
      </c>
      <c r="C20">
        <v>124</v>
      </c>
      <c r="D20">
        <v>105</v>
      </c>
      <c r="E20">
        <v>10</v>
      </c>
      <c r="F20">
        <v>310</v>
      </c>
      <c r="G20">
        <v>14</v>
      </c>
      <c r="H20">
        <v>317</v>
      </c>
      <c r="I20">
        <v>0</v>
      </c>
      <c r="J20">
        <f>SUM(C20:I20)</f>
        <v>880</v>
      </c>
      <c r="L20"/>
    </row>
    <row r="21" spans="1:12" x14ac:dyDescent="0.35">
      <c r="A21" t="s">
        <v>35</v>
      </c>
      <c r="B21">
        <v>2001</v>
      </c>
      <c r="C21">
        <v>74</v>
      </c>
      <c r="D21">
        <v>126</v>
      </c>
      <c r="E21">
        <v>56</v>
      </c>
      <c r="F21">
        <v>103</v>
      </c>
      <c r="G21">
        <v>84</v>
      </c>
      <c r="H21">
        <v>301</v>
      </c>
      <c r="I21">
        <v>0</v>
      </c>
      <c r="J21">
        <f>SUM(C21:I21)</f>
        <v>744</v>
      </c>
      <c r="L21"/>
    </row>
    <row r="22" spans="1:12" x14ac:dyDescent="0.35">
      <c r="A22" t="s">
        <v>33</v>
      </c>
      <c r="B22">
        <v>2001</v>
      </c>
      <c r="C22">
        <v>102</v>
      </c>
      <c r="D22">
        <v>35</v>
      </c>
      <c r="E22">
        <v>16</v>
      </c>
      <c r="F22">
        <v>58</v>
      </c>
      <c r="G22">
        <v>0</v>
      </c>
      <c r="H22">
        <v>227</v>
      </c>
      <c r="I22">
        <v>0</v>
      </c>
      <c r="J22">
        <f>SUM(C22:I22)</f>
        <v>438</v>
      </c>
      <c r="L22"/>
    </row>
    <row r="23" spans="1:12" x14ac:dyDescent="0.35">
      <c r="A23" t="s">
        <v>10</v>
      </c>
      <c r="B23">
        <v>2001</v>
      </c>
      <c r="C23">
        <v>33</v>
      </c>
      <c r="D23">
        <v>55</v>
      </c>
      <c r="E23">
        <v>0</v>
      </c>
      <c r="F23">
        <v>78</v>
      </c>
      <c r="G23">
        <v>3</v>
      </c>
      <c r="H23">
        <v>11</v>
      </c>
      <c r="I23">
        <v>0</v>
      </c>
      <c r="J23">
        <f>SUM(C23:I23)</f>
        <v>180</v>
      </c>
      <c r="L23"/>
    </row>
    <row r="24" spans="1:12" x14ac:dyDescent="0.35">
      <c r="A24" t="s">
        <v>38</v>
      </c>
      <c r="B24">
        <v>2001</v>
      </c>
      <c r="C24">
        <v>18</v>
      </c>
      <c r="D24">
        <v>50</v>
      </c>
      <c r="E24">
        <v>3</v>
      </c>
      <c r="F24">
        <v>24</v>
      </c>
      <c r="G24">
        <v>15</v>
      </c>
      <c r="H24">
        <v>36</v>
      </c>
      <c r="I24">
        <v>0</v>
      </c>
      <c r="J24">
        <f>SUM(C24:I24)</f>
        <v>146</v>
      </c>
      <c r="L24"/>
    </row>
    <row r="25" spans="1:12" x14ac:dyDescent="0.35">
      <c r="A25" t="s">
        <v>26</v>
      </c>
      <c r="B25">
        <v>2001</v>
      </c>
      <c r="C25">
        <v>52</v>
      </c>
      <c r="D25">
        <v>1</v>
      </c>
      <c r="E25">
        <v>0</v>
      </c>
      <c r="F25">
        <v>52</v>
      </c>
      <c r="G25">
        <v>0</v>
      </c>
      <c r="H25">
        <v>16</v>
      </c>
      <c r="I25">
        <v>3</v>
      </c>
      <c r="J25">
        <f>SUM(C25:I25)</f>
        <v>124</v>
      </c>
      <c r="L25"/>
    </row>
    <row r="26" spans="1:12" x14ac:dyDescent="0.35">
      <c r="A26" t="s">
        <v>24</v>
      </c>
      <c r="B26">
        <v>2001</v>
      </c>
      <c r="C26">
        <v>20</v>
      </c>
      <c r="D26">
        <v>62</v>
      </c>
      <c r="E26">
        <v>0</v>
      </c>
      <c r="F26">
        <v>21</v>
      </c>
      <c r="G26">
        <v>0</v>
      </c>
      <c r="H26">
        <v>5</v>
      </c>
      <c r="I26">
        <v>0</v>
      </c>
      <c r="J26">
        <f>SUM(C26:I26)</f>
        <v>108</v>
      </c>
      <c r="L26"/>
    </row>
    <row r="27" spans="1:12" x14ac:dyDescent="0.35">
      <c r="A27" t="s">
        <v>42</v>
      </c>
      <c r="B27">
        <v>2001</v>
      </c>
      <c r="C27">
        <v>9</v>
      </c>
      <c r="D27">
        <v>3</v>
      </c>
      <c r="E27">
        <v>1</v>
      </c>
      <c r="F27">
        <v>35</v>
      </c>
      <c r="G27">
        <v>27</v>
      </c>
      <c r="H27">
        <v>3</v>
      </c>
      <c r="I27">
        <v>0</v>
      </c>
      <c r="J27">
        <f>SUM(C27:I27)</f>
        <v>78</v>
      </c>
      <c r="L27"/>
    </row>
    <row r="28" spans="1:12" x14ac:dyDescent="0.35">
      <c r="A28" t="s">
        <v>25</v>
      </c>
      <c r="B28">
        <v>2001</v>
      </c>
      <c r="C28">
        <v>26</v>
      </c>
      <c r="D28">
        <v>11</v>
      </c>
      <c r="E28">
        <v>0</v>
      </c>
      <c r="F28">
        <v>25</v>
      </c>
      <c r="G28">
        <v>0</v>
      </c>
      <c r="H28">
        <v>4</v>
      </c>
      <c r="I28">
        <v>0</v>
      </c>
      <c r="J28">
        <f>SUM(C28:I28)</f>
        <v>66</v>
      </c>
      <c r="L28"/>
    </row>
    <row r="29" spans="1:12" x14ac:dyDescent="0.35">
      <c r="A29" t="s">
        <v>14</v>
      </c>
      <c r="B29">
        <v>2001</v>
      </c>
      <c r="C29">
        <v>12</v>
      </c>
      <c r="D29">
        <v>6</v>
      </c>
      <c r="E29">
        <v>2</v>
      </c>
      <c r="F29">
        <v>17</v>
      </c>
      <c r="G29">
        <v>7</v>
      </c>
      <c r="H29">
        <v>11</v>
      </c>
      <c r="I29">
        <v>0</v>
      </c>
      <c r="J29">
        <f>SUM(C29:I29)</f>
        <v>55</v>
      </c>
      <c r="L29"/>
    </row>
    <row r="30" spans="1:12" x14ac:dyDescent="0.35">
      <c r="A30" t="s">
        <v>37</v>
      </c>
      <c r="B30">
        <v>2001</v>
      </c>
      <c r="C30">
        <v>3</v>
      </c>
      <c r="D30">
        <v>2</v>
      </c>
      <c r="E30">
        <v>0</v>
      </c>
      <c r="F30">
        <v>19</v>
      </c>
      <c r="G30">
        <v>1</v>
      </c>
      <c r="H30">
        <v>9</v>
      </c>
      <c r="I30">
        <v>0</v>
      </c>
      <c r="J30">
        <f>SUM(C30:I30)</f>
        <v>34</v>
      </c>
      <c r="L30"/>
    </row>
    <row r="31" spans="1:12" x14ac:dyDescent="0.35">
      <c r="A31" t="s">
        <v>27</v>
      </c>
      <c r="B31">
        <v>2001</v>
      </c>
      <c r="C31">
        <v>17</v>
      </c>
      <c r="D31">
        <v>6</v>
      </c>
      <c r="E31">
        <v>0</v>
      </c>
      <c r="F31">
        <v>6</v>
      </c>
      <c r="G31">
        <v>0</v>
      </c>
      <c r="H31">
        <v>0</v>
      </c>
      <c r="I31">
        <v>0</v>
      </c>
      <c r="J31">
        <f>SUM(C31:I31)</f>
        <v>29</v>
      </c>
      <c r="L31"/>
    </row>
    <row r="32" spans="1:12" x14ac:dyDescent="0.35">
      <c r="A32" t="s">
        <v>31</v>
      </c>
      <c r="B32">
        <v>2001</v>
      </c>
      <c r="C32">
        <v>8</v>
      </c>
      <c r="D32">
        <v>2</v>
      </c>
      <c r="E32">
        <v>0</v>
      </c>
      <c r="F32">
        <v>0</v>
      </c>
      <c r="G32">
        <v>14</v>
      </c>
      <c r="H32">
        <v>0</v>
      </c>
      <c r="I32">
        <v>0</v>
      </c>
      <c r="J32">
        <f>SUM(C32:I32)</f>
        <v>24</v>
      </c>
      <c r="L32"/>
    </row>
    <row r="33" spans="1:12" x14ac:dyDescent="0.35">
      <c r="A33" t="s">
        <v>39</v>
      </c>
      <c r="B33">
        <v>2001</v>
      </c>
      <c r="C33">
        <v>6</v>
      </c>
      <c r="D33">
        <v>2</v>
      </c>
      <c r="E33">
        <v>0</v>
      </c>
      <c r="F33">
        <v>7</v>
      </c>
      <c r="G33">
        <v>0</v>
      </c>
      <c r="H33">
        <v>4</v>
      </c>
      <c r="I33">
        <v>0</v>
      </c>
      <c r="J33">
        <f>SUM(C33:I33)</f>
        <v>19</v>
      </c>
      <c r="L33"/>
    </row>
    <row r="34" spans="1:12" x14ac:dyDescent="0.35">
      <c r="A34" t="s">
        <v>40</v>
      </c>
      <c r="B34">
        <v>2001</v>
      </c>
      <c r="C34">
        <v>0</v>
      </c>
      <c r="D34">
        <v>3</v>
      </c>
      <c r="E34">
        <v>0</v>
      </c>
      <c r="F34">
        <v>0</v>
      </c>
      <c r="G34">
        <v>0</v>
      </c>
      <c r="H34">
        <v>4</v>
      </c>
      <c r="I34">
        <v>0</v>
      </c>
      <c r="J34">
        <f>SUM(C34:I34)</f>
        <v>7</v>
      </c>
      <c r="L34"/>
    </row>
    <row r="35" spans="1:12" x14ac:dyDescent="0.35">
      <c r="A35" t="s">
        <v>41</v>
      </c>
      <c r="B35">
        <v>2001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>SUM(C35:I35)</f>
        <v>0</v>
      </c>
      <c r="L35"/>
    </row>
    <row r="36" spans="1:12" x14ac:dyDescent="0.35">
      <c r="A36" t="s">
        <v>34</v>
      </c>
      <c r="B36">
        <v>2002</v>
      </c>
      <c r="C36">
        <v>1415</v>
      </c>
      <c r="D36">
        <v>2298</v>
      </c>
      <c r="E36">
        <v>1893</v>
      </c>
      <c r="F36">
        <v>2145</v>
      </c>
      <c r="G36">
        <v>1887</v>
      </c>
      <c r="H36">
        <v>5679</v>
      </c>
      <c r="I36">
        <v>0</v>
      </c>
      <c r="J36">
        <f>SUM(C36:I36)</f>
        <v>15317</v>
      </c>
      <c r="L36"/>
    </row>
    <row r="37" spans="1:12" x14ac:dyDescent="0.35">
      <c r="A37" t="s">
        <v>22</v>
      </c>
      <c r="B37">
        <v>2002</v>
      </c>
      <c r="C37">
        <v>2891</v>
      </c>
      <c r="D37">
        <v>639</v>
      </c>
      <c r="E37">
        <v>674</v>
      </c>
      <c r="F37">
        <v>7118</v>
      </c>
      <c r="G37">
        <v>783</v>
      </c>
      <c r="H37">
        <v>3117</v>
      </c>
      <c r="I37">
        <v>0</v>
      </c>
      <c r="J37">
        <f>SUM(C37:I37)</f>
        <v>15222</v>
      </c>
      <c r="L37"/>
    </row>
    <row r="38" spans="1:12" x14ac:dyDescent="0.35">
      <c r="A38" t="s">
        <v>9</v>
      </c>
      <c r="B38">
        <v>2002</v>
      </c>
      <c r="C38">
        <v>1002</v>
      </c>
      <c r="D38">
        <v>854</v>
      </c>
      <c r="E38">
        <v>449</v>
      </c>
      <c r="F38">
        <v>3799</v>
      </c>
      <c r="G38">
        <v>2024</v>
      </c>
      <c r="H38">
        <v>7018</v>
      </c>
      <c r="I38">
        <v>0</v>
      </c>
      <c r="J38">
        <f>SUM(C38:I38)</f>
        <v>15146</v>
      </c>
      <c r="L38"/>
    </row>
    <row r="39" spans="1:12" x14ac:dyDescent="0.35">
      <c r="A39" t="s">
        <v>30</v>
      </c>
      <c r="B39">
        <v>2002</v>
      </c>
      <c r="C39">
        <v>1051</v>
      </c>
      <c r="D39">
        <v>2019</v>
      </c>
      <c r="E39">
        <v>399</v>
      </c>
      <c r="F39">
        <v>2730</v>
      </c>
      <c r="G39">
        <v>44</v>
      </c>
      <c r="H39">
        <v>5691</v>
      </c>
      <c r="I39">
        <v>0</v>
      </c>
      <c r="J39">
        <f>SUM(C39:I39)</f>
        <v>11934</v>
      </c>
      <c r="L39"/>
    </row>
    <row r="40" spans="1:12" x14ac:dyDescent="0.35">
      <c r="A40" t="s">
        <v>23</v>
      </c>
      <c r="B40">
        <v>2002</v>
      </c>
      <c r="C40">
        <v>1352</v>
      </c>
      <c r="D40">
        <v>650</v>
      </c>
      <c r="E40">
        <v>303</v>
      </c>
      <c r="F40">
        <v>2686</v>
      </c>
      <c r="G40">
        <v>769</v>
      </c>
      <c r="H40">
        <v>5353</v>
      </c>
      <c r="I40">
        <v>0</v>
      </c>
      <c r="J40">
        <f>SUM(C40:I40)</f>
        <v>11113</v>
      </c>
      <c r="L40"/>
    </row>
    <row r="41" spans="1:12" x14ac:dyDescent="0.35">
      <c r="A41" t="s">
        <v>36</v>
      </c>
      <c r="B41">
        <v>2002</v>
      </c>
      <c r="C41">
        <v>759</v>
      </c>
      <c r="D41">
        <v>694</v>
      </c>
      <c r="E41">
        <v>273</v>
      </c>
      <c r="F41">
        <v>964</v>
      </c>
      <c r="G41">
        <v>34</v>
      </c>
      <c r="H41">
        <v>4069</v>
      </c>
      <c r="I41">
        <v>1</v>
      </c>
      <c r="J41">
        <f>SUM(C41:I41)</f>
        <v>6794</v>
      </c>
      <c r="L41"/>
    </row>
    <row r="42" spans="1:12" x14ac:dyDescent="0.35">
      <c r="A42" t="s">
        <v>32</v>
      </c>
      <c r="B42">
        <v>2002</v>
      </c>
      <c r="C42">
        <v>534</v>
      </c>
      <c r="D42">
        <v>714</v>
      </c>
      <c r="E42">
        <v>243</v>
      </c>
      <c r="F42">
        <v>1877</v>
      </c>
      <c r="G42">
        <v>1718</v>
      </c>
      <c r="H42">
        <v>1052</v>
      </c>
      <c r="I42">
        <v>0</v>
      </c>
      <c r="J42">
        <f>SUM(C42:I42)</f>
        <v>6138</v>
      </c>
      <c r="L42"/>
    </row>
    <row r="43" spans="1:12" x14ac:dyDescent="0.35">
      <c r="A43" t="s">
        <v>21</v>
      </c>
      <c r="B43">
        <v>2002</v>
      </c>
      <c r="C43">
        <v>499</v>
      </c>
      <c r="D43">
        <v>91</v>
      </c>
      <c r="E43">
        <v>17</v>
      </c>
      <c r="F43">
        <v>2123</v>
      </c>
      <c r="G43">
        <v>102</v>
      </c>
      <c r="H43">
        <v>2836</v>
      </c>
      <c r="I43">
        <v>0</v>
      </c>
      <c r="J43">
        <f>SUM(C43:I43)</f>
        <v>5668</v>
      </c>
      <c r="L43"/>
    </row>
    <row r="44" spans="1:12" x14ac:dyDescent="0.35">
      <c r="A44" t="s">
        <v>15</v>
      </c>
      <c r="B44">
        <v>2002</v>
      </c>
      <c r="C44">
        <v>267</v>
      </c>
      <c r="D44">
        <v>807</v>
      </c>
      <c r="E44">
        <v>62</v>
      </c>
      <c r="F44">
        <v>750</v>
      </c>
      <c r="G44">
        <v>104</v>
      </c>
      <c r="H44">
        <v>3321</v>
      </c>
      <c r="I44">
        <v>0</v>
      </c>
      <c r="J44">
        <f>SUM(C44:I44)</f>
        <v>5311</v>
      </c>
      <c r="L44"/>
    </row>
    <row r="45" spans="1:12" x14ac:dyDescent="0.35">
      <c r="A45" t="s">
        <v>11</v>
      </c>
      <c r="B45">
        <v>2002</v>
      </c>
      <c r="C45">
        <v>970</v>
      </c>
      <c r="D45">
        <v>1276</v>
      </c>
      <c r="E45">
        <v>70</v>
      </c>
      <c r="F45">
        <v>984</v>
      </c>
      <c r="G45">
        <v>7</v>
      </c>
      <c r="H45">
        <v>1694</v>
      </c>
      <c r="I45">
        <v>0</v>
      </c>
      <c r="J45">
        <f>SUM(C45:I45)</f>
        <v>5001</v>
      </c>
      <c r="L45"/>
    </row>
    <row r="46" spans="1:12" x14ac:dyDescent="0.35">
      <c r="A46" t="s">
        <v>12</v>
      </c>
      <c r="B46">
        <v>2002</v>
      </c>
      <c r="C46">
        <v>1040</v>
      </c>
      <c r="D46">
        <v>744</v>
      </c>
      <c r="E46">
        <v>927</v>
      </c>
      <c r="F46">
        <v>621</v>
      </c>
      <c r="G46">
        <v>6</v>
      </c>
      <c r="H46">
        <v>1577</v>
      </c>
      <c r="I46">
        <v>38</v>
      </c>
      <c r="J46">
        <f>SUM(C46:I46)</f>
        <v>4953</v>
      </c>
      <c r="L46"/>
    </row>
    <row r="47" spans="1:12" x14ac:dyDescent="0.35">
      <c r="A47" t="s">
        <v>20</v>
      </c>
      <c r="B47">
        <v>2002</v>
      </c>
      <c r="C47">
        <v>292</v>
      </c>
      <c r="D47">
        <v>300</v>
      </c>
      <c r="E47">
        <v>233</v>
      </c>
      <c r="F47">
        <v>1648</v>
      </c>
      <c r="G47">
        <v>100</v>
      </c>
      <c r="H47">
        <v>1826</v>
      </c>
      <c r="I47">
        <v>0</v>
      </c>
      <c r="J47">
        <f>SUM(C47:I47)</f>
        <v>4399</v>
      </c>
      <c r="L47"/>
    </row>
    <row r="48" spans="1:12" x14ac:dyDescent="0.35">
      <c r="A48" t="s">
        <v>16</v>
      </c>
      <c r="B48">
        <v>2002</v>
      </c>
      <c r="C48">
        <v>361</v>
      </c>
      <c r="D48">
        <v>290</v>
      </c>
      <c r="E48">
        <v>256</v>
      </c>
      <c r="F48">
        <v>454</v>
      </c>
      <c r="G48">
        <v>1424</v>
      </c>
      <c r="H48">
        <v>1565</v>
      </c>
      <c r="I48">
        <v>0</v>
      </c>
      <c r="J48">
        <f>SUM(C48:I48)</f>
        <v>4350</v>
      </c>
      <c r="L48"/>
    </row>
    <row r="49" spans="1:12" x14ac:dyDescent="0.35">
      <c r="A49" t="s">
        <v>28</v>
      </c>
      <c r="B49">
        <v>2002</v>
      </c>
      <c r="C49">
        <v>691</v>
      </c>
      <c r="D49">
        <v>432</v>
      </c>
      <c r="E49">
        <v>248</v>
      </c>
      <c r="F49">
        <v>1605</v>
      </c>
      <c r="G49">
        <v>188</v>
      </c>
      <c r="H49">
        <v>1167</v>
      </c>
      <c r="I49">
        <v>0</v>
      </c>
      <c r="J49">
        <f>SUM(C49:I49)</f>
        <v>4331</v>
      </c>
      <c r="L49"/>
    </row>
    <row r="50" spans="1:12" x14ac:dyDescent="0.35">
      <c r="A50" t="s">
        <v>13</v>
      </c>
      <c r="B50">
        <v>2002</v>
      </c>
      <c r="C50">
        <v>992</v>
      </c>
      <c r="D50">
        <v>154</v>
      </c>
      <c r="E50">
        <v>85</v>
      </c>
      <c r="F50">
        <v>1483</v>
      </c>
      <c r="G50">
        <v>147</v>
      </c>
      <c r="H50">
        <v>653</v>
      </c>
      <c r="I50">
        <v>0</v>
      </c>
      <c r="J50">
        <f>SUM(C50:I50)</f>
        <v>3514</v>
      </c>
      <c r="L50"/>
    </row>
    <row r="51" spans="1:12" x14ac:dyDescent="0.35">
      <c r="A51" t="s">
        <v>19</v>
      </c>
      <c r="B51">
        <v>2002</v>
      </c>
      <c r="C51">
        <v>797</v>
      </c>
      <c r="D51">
        <v>178</v>
      </c>
      <c r="E51">
        <v>275</v>
      </c>
      <c r="F51">
        <v>411</v>
      </c>
      <c r="G51">
        <v>3</v>
      </c>
      <c r="H51">
        <v>588</v>
      </c>
      <c r="I51">
        <v>36</v>
      </c>
      <c r="J51">
        <f>SUM(C51:I51)</f>
        <v>2288</v>
      </c>
      <c r="L51"/>
    </row>
    <row r="52" spans="1:12" x14ac:dyDescent="0.35">
      <c r="A52" t="s">
        <v>29</v>
      </c>
      <c r="B52">
        <v>2002</v>
      </c>
      <c r="C52">
        <v>299</v>
      </c>
      <c r="D52">
        <v>354</v>
      </c>
      <c r="E52">
        <v>166</v>
      </c>
      <c r="F52">
        <v>341</v>
      </c>
      <c r="G52">
        <v>145</v>
      </c>
      <c r="H52">
        <v>944</v>
      </c>
      <c r="I52">
        <v>0</v>
      </c>
      <c r="J52">
        <f>SUM(C52:I52)</f>
        <v>2249</v>
      </c>
      <c r="L52"/>
    </row>
    <row r="53" spans="1:12" x14ac:dyDescent="0.35">
      <c r="A53" t="s">
        <v>18</v>
      </c>
      <c r="B53">
        <v>2002</v>
      </c>
      <c r="C53">
        <v>192</v>
      </c>
      <c r="D53">
        <v>596</v>
      </c>
      <c r="E53">
        <v>18</v>
      </c>
      <c r="F53">
        <v>785</v>
      </c>
      <c r="G53">
        <v>368</v>
      </c>
      <c r="H53">
        <v>54</v>
      </c>
      <c r="I53">
        <v>0</v>
      </c>
      <c r="J53">
        <f>SUM(C53:I53)</f>
        <v>2013</v>
      </c>
      <c r="L53"/>
    </row>
    <row r="54" spans="1:12" x14ac:dyDescent="0.35">
      <c r="A54" t="s">
        <v>35</v>
      </c>
      <c r="B54">
        <v>2002</v>
      </c>
      <c r="C54">
        <v>89</v>
      </c>
      <c r="D54">
        <v>155</v>
      </c>
      <c r="E54">
        <v>66</v>
      </c>
      <c r="F54">
        <v>145</v>
      </c>
      <c r="G54">
        <v>97</v>
      </c>
      <c r="H54">
        <v>316</v>
      </c>
      <c r="I54">
        <v>1</v>
      </c>
      <c r="J54">
        <f>SUM(C54:I54)</f>
        <v>869</v>
      </c>
      <c r="L54"/>
    </row>
    <row r="55" spans="1:12" x14ac:dyDescent="0.35">
      <c r="A55" t="s">
        <v>17</v>
      </c>
      <c r="B55">
        <v>2002</v>
      </c>
      <c r="C55">
        <v>137</v>
      </c>
      <c r="D55">
        <v>116</v>
      </c>
      <c r="E55">
        <v>6</v>
      </c>
      <c r="F55">
        <v>326</v>
      </c>
      <c r="G55">
        <v>12</v>
      </c>
      <c r="H55">
        <v>234</v>
      </c>
      <c r="I55">
        <v>0</v>
      </c>
      <c r="J55">
        <f>SUM(C55:I55)</f>
        <v>831</v>
      </c>
      <c r="L55"/>
    </row>
    <row r="56" spans="1:12" x14ac:dyDescent="0.35">
      <c r="A56" t="s">
        <v>33</v>
      </c>
      <c r="B56">
        <v>2002</v>
      </c>
      <c r="C56">
        <v>108</v>
      </c>
      <c r="D56">
        <v>48</v>
      </c>
      <c r="E56">
        <v>16</v>
      </c>
      <c r="F56">
        <v>128</v>
      </c>
      <c r="G56">
        <v>0</v>
      </c>
      <c r="H56">
        <v>236</v>
      </c>
      <c r="I56">
        <v>0</v>
      </c>
      <c r="J56">
        <f>SUM(C56:I56)</f>
        <v>536</v>
      </c>
      <c r="L56"/>
    </row>
    <row r="57" spans="1:12" x14ac:dyDescent="0.35">
      <c r="A57" t="s">
        <v>38</v>
      </c>
      <c r="B57">
        <v>2002</v>
      </c>
      <c r="C57">
        <v>18</v>
      </c>
      <c r="D57">
        <v>47</v>
      </c>
      <c r="E57">
        <v>1</v>
      </c>
      <c r="F57">
        <v>36</v>
      </c>
      <c r="G57">
        <v>28</v>
      </c>
      <c r="H57">
        <v>56</v>
      </c>
      <c r="I57">
        <v>0</v>
      </c>
      <c r="J57">
        <f>SUM(C57:I57)</f>
        <v>186</v>
      </c>
      <c r="L57"/>
    </row>
    <row r="58" spans="1:12" x14ac:dyDescent="0.35">
      <c r="A58" t="s">
        <v>24</v>
      </c>
      <c r="B58">
        <v>2002</v>
      </c>
      <c r="C58">
        <v>14</v>
      </c>
      <c r="D58">
        <v>82</v>
      </c>
      <c r="E58">
        <v>0</v>
      </c>
      <c r="F58">
        <v>58</v>
      </c>
      <c r="G58">
        <v>0</v>
      </c>
      <c r="H58">
        <v>10</v>
      </c>
      <c r="I58">
        <v>0</v>
      </c>
      <c r="J58">
        <f>SUM(C58:I58)</f>
        <v>164</v>
      </c>
      <c r="L58"/>
    </row>
    <row r="59" spans="1:12" x14ac:dyDescent="0.35">
      <c r="A59" t="s">
        <v>10</v>
      </c>
      <c r="B59">
        <v>2002</v>
      </c>
      <c r="C59">
        <v>38</v>
      </c>
      <c r="D59">
        <v>38</v>
      </c>
      <c r="E59">
        <v>0</v>
      </c>
      <c r="F59">
        <v>68</v>
      </c>
      <c r="G59">
        <v>2</v>
      </c>
      <c r="H59">
        <v>13</v>
      </c>
      <c r="I59">
        <v>0</v>
      </c>
      <c r="J59">
        <f>SUM(C59:I59)</f>
        <v>159</v>
      </c>
      <c r="L59"/>
    </row>
    <row r="60" spans="1:12" x14ac:dyDescent="0.35">
      <c r="A60" t="s">
        <v>26</v>
      </c>
      <c r="B60">
        <v>2002</v>
      </c>
      <c r="C60">
        <v>76</v>
      </c>
      <c r="D60">
        <v>2</v>
      </c>
      <c r="E60">
        <v>0</v>
      </c>
      <c r="F60">
        <v>73</v>
      </c>
      <c r="G60">
        <v>0</v>
      </c>
      <c r="H60">
        <v>3</v>
      </c>
      <c r="I60">
        <v>0</v>
      </c>
      <c r="J60">
        <f>SUM(C60:I60)</f>
        <v>154</v>
      </c>
      <c r="L60"/>
    </row>
    <row r="61" spans="1:12" x14ac:dyDescent="0.35">
      <c r="A61" t="s">
        <v>42</v>
      </c>
      <c r="B61">
        <v>2002</v>
      </c>
      <c r="C61">
        <v>6</v>
      </c>
      <c r="D61">
        <v>6</v>
      </c>
      <c r="E61">
        <v>5</v>
      </c>
      <c r="F61">
        <v>59</v>
      </c>
      <c r="G61">
        <v>26</v>
      </c>
      <c r="H61">
        <v>9</v>
      </c>
      <c r="I61">
        <v>0</v>
      </c>
      <c r="J61">
        <f>SUM(C61:I61)</f>
        <v>111</v>
      </c>
      <c r="L61"/>
    </row>
    <row r="62" spans="1:12" x14ac:dyDescent="0.35">
      <c r="A62" t="s">
        <v>25</v>
      </c>
      <c r="B62">
        <v>2002</v>
      </c>
      <c r="C62">
        <v>38</v>
      </c>
      <c r="D62">
        <v>10</v>
      </c>
      <c r="E62">
        <v>0</v>
      </c>
      <c r="F62">
        <v>23</v>
      </c>
      <c r="G62">
        <v>0</v>
      </c>
      <c r="H62">
        <v>0</v>
      </c>
      <c r="I62">
        <v>0</v>
      </c>
      <c r="J62">
        <f>SUM(C62:I62)</f>
        <v>71</v>
      </c>
      <c r="L62"/>
    </row>
    <row r="63" spans="1:12" x14ac:dyDescent="0.35">
      <c r="A63" t="s">
        <v>14</v>
      </c>
      <c r="B63">
        <v>2002</v>
      </c>
      <c r="C63">
        <v>12</v>
      </c>
      <c r="D63">
        <v>5</v>
      </c>
      <c r="E63">
        <v>2</v>
      </c>
      <c r="F63">
        <v>18</v>
      </c>
      <c r="G63">
        <v>6</v>
      </c>
      <c r="H63">
        <v>8</v>
      </c>
      <c r="I63">
        <v>0</v>
      </c>
      <c r="J63">
        <f>SUM(C63:I63)</f>
        <v>51</v>
      </c>
      <c r="L63"/>
    </row>
    <row r="64" spans="1:12" x14ac:dyDescent="0.35">
      <c r="A64" t="s">
        <v>31</v>
      </c>
      <c r="B64">
        <v>2002</v>
      </c>
      <c r="C64">
        <v>6</v>
      </c>
      <c r="D64">
        <v>2</v>
      </c>
      <c r="E64">
        <v>0</v>
      </c>
      <c r="F64">
        <v>17</v>
      </c>
      <c r="G64">
        <v>0</v>
      </c>
      <c r="H64">
        <v>3</v>
      </c>
      <c r="I64">
        <v>0</v>
      </c>
      <c r="J64">
        <f>SUM(C64:I64)</f>
        <v>28</v>
      </c>
      <c r="L64"/>
    </row>
    <row r="65" spans="1:12" x14ac:dyDescent="0.35">
      <c r="A65" t="s">
        <v>37</v>
      </c>
      <c r="B65">
        <v>2002</v>
      </c>
      <c r="C65">
        <v>2</v>
      </c>
      <c r="D65">
        <v>1</v>
      </c>
      <c r="E65">
        <v>0</v>
      </c>
      <c r="F65">
        <v>17</v>
      </c>
      <c r="G65">
        <v>3</v>
      </c>
      <c r="H65">
        <v>4</v>
      </c>
      <c r="I65">
        <v>0</v>
      </c>
      <c r="J65">
        <f>SUM(C65:I65)</f>
        <v>27</v>
      </c>
      <c r="L65"/>
    </row>
    <row r="66" spans="1:12" x14ac:dyDescent="0.35">
      <c r="A66" t="s">
        <v>27</v>
      </c>
      <c r="B66">
        <v>2002</v>
      </c>
      <c r="C66">
        <v>17</v>
      </c>
      <c r="D66">
        <v>4</v>
      </c>
      <c r="E66">
        <v>0</v>
      </c>
      <c r="F66">
        <v>1</v>
      </c>
      <c r="G66">
        <v>0</v>
      </c>
      <c r="H66">
        <v>0</v>
      </c>
      <c r="I66">
        <v>0</v>
      </c>
      <c r="J66">
        <f>SUM(C66:I66)</f>
        <v>22</v>
      </c>
      <c r="L66"/>
    </row>
    <row r="67" spans="1:12" x14ac:dyDescent="0.35">
      <c r="A67" t="s">
        <v>39</v>
      </c>
      <c r="B67">
        <v>2002</v>
      </c>
      <c r="C67">
        <v>4</v>
      </c>
      <c r="D67">
        <v>5</v>
      </c>
      <c r="E67">
        <v>0</v>
      </c>
      <c r="F67">
        <v>3</v>
      </c>
      <c r="G67">
        <v>0</v>
      </c>
      <c r="H67">
        <v>3</v>
      </c>
      <c r="I67">
        <v>0</v>
      </c>
      <c r="J67">
        <f>SUM(C67:I67)</f>
        <v>15</v>
      </c>
      <c r="L67"/>
    </row>
    <row r="68" spans="1:12" x14ac:dyDescent="0.35">
      <c r="A68" t="s">
        <v>40</v>
      </c>
      <c r="B68">
        <v>2002</v>
      </c>
      <c r="C68">
        <v>0</v>
      </c>
      <c r="D68">
        <v>2</v>
      </c>
      <c r="E68">
        <v>0</v>
      </c>
      <c r="F68">
        <v>0</v>
      </c>
      <c r="G68">
        <v>0</v>
      </c>
      <c r="H68">
        <v>3</v>
      </c>
      <c r="I68">
        <v>0</v>
      </c>
      <c r="J68">
        <f>SUM(C68:I68)</f>
        <v>5</v>
      </c>
      <c r="L68"/>
    </row>
    <row r="69" spans="1:12" x14ac:dyDescent="0.35">
      <c r="A69" t="s">
        <v>41</v>
      </c>
      <c r="B69">
        <v>2002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f>SUM(C69:I69)</f>
        <v>2</v>
      </c>
      <c r="L69"/>
    </row>
    <row r="70" spans="1:12" x14ac:dyDescent="0.35">
      <c r="A70" t="s">
        <v>9</v>
      </c>
      <c r="B70">
        <v>2003</v>
      </c>
      <c r="C70">
        <v>946</v>
      </c>
      <c r="D70">
        <v>931</v>
      </c>
      <c r="E70">
        <v>466</v>
      </c>
      <c r="F70">
        <v>4128</v>
      </c>
      <c r="G70">
        <v>2286</v>
      </c>
      <c r="H70">
        <v>8167</v>
      </c>
      <c r="I70">
        <v>5</v>
      </c>
      <c r="J70">
        <f>SUM(C70:I70)</f>
        <v>16929</v>
      </c>
      <c r="L70"/>
    </row>
    <row r="71" spans="1:12" x14ac:dyDescent="0.35">
      <c r="A71" t="s">
        <v>22</v>
      </c>
      <c r="B71">
        <v>2003</v>
      </c>
      <c r="C71">
        <v>2738</v>
      </c>
      <c r="D71">
        <v>608</v>
      </c>
      <c r="E71">
        <v>648</v>
      </c>
      <c r="F71">
        <v>6848</v>
      </c>
      <c r="G71">
        <v>705</v>
      </c>
      <c r="H71">
        <v>2938</v>
      </c>
      <c r="I71">
        <v>0</v>
      </c>
      <c r="J71">
        <f>SUM(C71:I71)</f>
        <v>14485</v>
      </c>
      <c r="L71"/>
    </row>
    <row r="72" spans="1:12" x14ac:dyDescent="0.35">
      <c r="A72" t="s">
        <v>34</v>
      </c>
      <c r="B72">
        <v>2003</v>
      </c>
      <c r="C72">
        <v>911</v>
      </c>
      <c r="D72">
        <v>1499</v>
      </c>
      <c r="E72">
        <v>1322</v>
      </c>
      <c r="F72">
        <v>1098</v>
      </c>
      <c r="G72">
        <v>4970</v>
      </c>
      <c r="H72">
        <v>2626</v>
      </c>
      <c r="I72">
        <v>0</v>
      </c>
      <c r="J72">
        <f>SUM(C72:I72)</f>
        <v>12426</v>
      </c>
      <c r="L72"/>
    </row>
    <row r="73" spans="1:12" x14ac:dyDescent="0.35">
      <c r="A73" t="s">
        <v>30</v>
      </c>
      <c r="B73">
        <v>2003</v>
      </c>
      <c r="C73">
        <v>1050</v>
      </c>
      <c r="D73">
        <v>1750</v>
      </c>
      <c r="E73">
        <v>389</v>
      </c>
      <c r="F73">
        <v>2715</v>
      </c>
      <c r="G73">
        <v>33</v>
      </c>
      <c r="H73">
        <v>5733</v>
      </c>
      <c r="I73">
        <v>1</v>
      </c>
      <c r="J73">
        <f>SUM(C73:I73)</f>
        <v>11671</v>
      </c>
      <c r="L73"/>
    </row>
    <row r="74" spans="1:12" x14ac:dyDescent="0.35">
      <c r="A74" t="s">
        <v>23</v>
      </c>
      <c r="B74">
        <v>2003</v>
      </c>
      <c r="C74">
        <v>1268</v>
      </c>
      <c r="D74">
        <v>626</v>
      </c>
      <c r="E74">
        <v>368</v>
      </c>
      <c r="F74">
        <v>2661</v>
      </c>
      <c r="G74">
        <v>682</v>
      </c>
      <c r="H74">
        <v>5452</v>
      </c>
      <c r="I74">
        <v>0</v>
      </c>
      <c r="J74">
        <f>SUM(C74:I74)</f>
        <v>11057</v>
      </c>
      <c r="L74"/>
    </row>
    <row r="75" spans="1:12" x14ac:dyDescent="0.35">
      <c r="A75" t="s">
        <v>36</v>
      </c>
      <c r="B75">
        <v>2003</v>
      </c>
      <c r="C75">
        <v>1002</v>
      </c>
      <c r="D75">
        <v>801</v>
      </c>
      <c r="E75">
        <v>329</v>
      </c>
      <c r="F75">
        <v>1186</v>
      </c>
      <c r="G75">
        <v>71</v>
      </c>
      <c r="H75">
        <v>4948</v>
      </c>
      <c r="I75">
        <v>1</v>
      </c>
      <c r="J75">
        <f>SUM(C75:I75)</f>
        <v>8338</v>
      </c>
      <c r="L75"/>
    </row>
    <row r="76" spans="1:12" x14ac:dyDescent="0.35">
      <c r="A76" t="s">
        <v>32</v>
      </c>
      <c r="B76">
        <v>2003</v>
      </c>
      <c r="C76">
        <v>557</v>
      </c>
      <c r="D76">
        <v>632</v>
      </c>
      <c r="E76">
        <v>220</v>
      </c>
      <c r="F76">
        <v>2022</v>
      </c>
      <c r="G76">
        <v>881</v>
      </c>
      <c r="H76">
        <v>1555</v>
      </c>
      <c r="I76">
        <v>1</v>
      </c>
      <c r="J76">
        <f>SUM(C76:I76)</f>
        <v>5868</v>
      </c>
      <c r="L76"/>
    </row>
    <row r="77" spans="1:12" x14ac:dyDescent="0.35">
      <c r="A77" t="s">
        <v>15</v>
      </c>
      <c r="B77">
        <v>2003</v>
      </c>
      <c r="C77">
        <v>236</v>
      </c>
      <c r="D77">
        <v>859</v>
      </c>
      <c r="E77">
        <v>54</v>
      </c>
      <c r="F77">
        <v>722</v>
      </c>
      <c r="G77">
        <v>92</v>
      </c>
      <c r="H77">
        <v>3684</v>
      </c>
      <c r="I77">
        <v>0</v>
      </c>
      <c r="J77">
        <f>SUM(C77:I77)</f>
        <v>5647</v>
      </c>
      <c r="L77"/>
    </row>
    <row r="78" spans="1:12" x14ac:dyDescent="0.35">
      <c r="A78" t="s">
        <v>21</v>
      </c>
      <c r="B78">
        <v>2003</v>
      </c>
      <c r="C78">
        <v>394</v>
      </c>
      <c r="D78">
        <v>102</v>
      </c>
      <c r="E78">
        <v>33</v>
      </c>
      <c r="F78">
        <v>1947</v>
      </c>
      <c r="G78">
        <v>68</v>
      </c>
      <c r="H78">
        <v>2930</v>
      </c>
      <c r="I78">
        <v>0</v>
      </c>
      <c r="J78">
        <f>SUM(C78:I78)</f>
        <v>5474</v>
      </c>
      <c r="L78"/>
    </row>
    <row r="79" spans="1:12" x14ac:dyDescent="0.35">
      <c r="A79" t="s">
        <v>11</v>
      </c>
      <c r="B79">
        <v>2003</v>
      </c>
      <c r="C79">
        <v>1095</v>
      </c>
      <c r="D79">
        <v>1351</v>
      </c>
      <c r="E79">
        <v>60</v>
      </c>
      <c r="F79">
        <v>878</v>
      </c>
      <c r="G79">
        <v>6</v>
      </c>
      <c r="H79">
        <v>1808</v>
      </c>
      <c r="I79">
        <v>0</v>
      </c>
      <c r="J79">
        <f>SUM(C79:I79)</f>
        <v>5198</v>
      </c>
      <c r="L79"/>
    </row>
    <row r="80" spans="1:12" x14ac:dyDescent="0.35">
      <c r="A80" t="s">
        <v>12</v>
      </c>
      <c r="B80">
        <v>2003</v>
      </c>
      <c r="C80">
        <v>985</v>
      </c>
      <c r="D80">
        <v>674</v>
      </c>
      <c r="E80">
        <v>909</v>
      </c>
      <c r="F80">
        <v>688</v>
      </c>
      <c r="G80">
        <v>11</v>
      </c>
      <c r="H80">
        <v>1880</v>
      </c>
      <c r="I80">
        <v>37</v>
      </c>
      <c r="J80">
        <f>SUM(C80:I80)</f>
        <v>5184</v>
      </c>
      <c r="L80"/>
    </row>
    <row r="81" spans="1:12" x14ac:dyDescent="0.35">
      <c r="A81" t="s">
        <v>28</v>
      </c>
      <c r="B81">
        <v>2003</v>
      </c>
      <c r="C81">
        <v>725</v>
      </c>
      <c r="D81">
        <v>373</v>
      </c>
      <c r="E81">
        <v>279</v>
      </c>
      <c r="F81">
        <v>1669</v>
      </c>
      <c r="G81">
        <v>188</v>
      </c>
      <c r="H81">
        <v>1289</v>
      </c>
      <c r="I81">
        <v>0</v>
      </c>
      <c r="J81">
        <f>SUM(C81:I81)</f>
        <v>4523</v>
      </c>
      <c r="L81"/>
    </row>
    <row r="82" spans="1:12" x14ac:dyDescent="0.35">
      <c r="A82" t="s">
        <v>20</v>
      </c>
      <c r="B82">
        <v>2003</v>
      </c>
      <c r="C82">
        <v>321</v>
      </c>
      <c r="D82">
        <v>244</v>
      </c>
      <c r="E82">
        <v>194</v>
      </c>
      <c r="F82">
        <v>1585</v>
      </c>
      <c r="G82">
        <v>84</v>
      </c>
      <c r="H82">
        <v>1704</v>
      </c>
      <c r="I82">
        <v>0</v>
      </c>
      <c r="J82">
        <f>SUM(C82:I82)</f>
        <v>4132</v>
      </c>
      <c r="L82"/>
    </row>
    <row r="83" spans="1:12" x14ac:dyDescent="0.35">
      <c r="A83" t="s">
        <v>16</v>
      </c>
      <c r="B83">
        <v>2003</v>
      </c>
      <c r="C83">
        <v>353</v>
      </c>
      <c r="D83">
        <v>271</v>
      </c>
      <c r="E83">
        <v>222</v>
      </c>
      <c r="F83">
        <v>344</v>
      </c>
      <c r="G83">
        <v>1302</v>
      </c>
      <c r="H83">
        <v>1618</v>
      </c>
      <c r="I83">
        <v>0</v>
      </c>
      <c r="J83">
        <f>SUM(C83:I83)</f>
        <v>4110</v>
      </c>
      <c r="L83"/>
    </row>
    <row r="84" spans="1:12" x14ac:dyDescent="0.35">
      <c r="A84" t="s">
        <v>13</v>
      </c>
      <c r="B84">
        <v>2003</v>
      </c>
      <c r="C84">
        <v>898</v>
      </c>
      <c r="D84">
        <v>149</v>
      </c>
      <c r="E84">
        <v>79</v>
      </c>
      <c r="F84">
        <v>1481</v>
      </c>
      <c r="G84">
        <v>105</v>
      </c>
      <c r="H84">
        <v>601</v>
      </c>
      <c r="I84">
        <v>0</v>
      </c>
      <c r="J84">
        <f>SUM(C84:I84)</f>
        <v>3313</v>
      </c>
      <c r="L84"/>
    </row>
    <row r="85" spans="1:12" x14ac:dyDescent="0.35">
      <c r="A85" t="s">
        <v>29</v>
      </c>
      <c r="B85">
        <v>2003</v>
      </c>
      <c r="C85">
        <v>380</v>
      </c>
      <c r="D85">
        <v>295</v>
      </c>
      <c r="E85">
        <v>110</v>
      </c>
      <c r="F85">
        <v>346</v>
      </c>
      <c r="G85">
        <v>199</v>
      </c>
      <c r="H85">
        <v>987</v>
      </c>
      <c r="I85">
        <v>0</v>
      </c>
      <c r="J85">
        <f>SUM(C85:I85)</f>
        <v>2317</v>
      </c>
      <c r="L85"/>
    </row>
    <row r="86" spans="1:12" x14ac:dyDescent="0.35">
      <c r="A86" t="s">
        <v>19</v>
      </c>
      <c r="B86">
        <v>2003</v>
      </c>
      <c r="C86">
        <v>712</v>
      </c>
      <c r="D86">
        <v>262</v>
      </c>
      <c r="E86">
        <v>262</v>
      </c>
      <c r="F86">
        <v>424</v>
      </c>
      <c r="G86">
        <v>2</v>
      </c>
      <c r="H86">
        <v>559</v>
      </c>
      <c r="I86">
        <v>0</v>
      </c>
      <c r="J86">
        <f>SUM(C86:I86)</f>
        <v>2221</v>
      </c>
      <c r="L86"/>
    </row>
    <row r="87" spans="1:12" x14ac:dyDescent="0.35">
      <c r="A87" t="s">
        <v>18</v>
      </c>
      <c r="B87">
        <v>2003</v>
      </c>
      <c r="C87">
        <v>211</v>
      </c>
      <c r="D87">
        <v>615</v>
      </c>
      <c r="E87">
        <v>10</v>
      </c>
      <c r="F87">
        <v>875</v>
      </c>
      <c r="G87">
        <v>376</v>
      </c>
      <c r="H87">
        <v>71</v>
      </c>
      <c r="I87">
        <v>0</v>
      </c>
      <c r="J87">
        <f>SUM(C87:I87)</f>
        <v>2158</v>
      </c>
      <c r="L87"/>
    </row>
    <row r="88" spans="1:12" x14ac:dyDescent="0.35">
      <c r="A88" t="s">
        <v>35</v>
      </c>
      <c r="B88">
        <v>2003</v>
      </c>
      <c r="C88">
        <v>107</v>
      </c>
      <c r="D88">
        <v>134</v>
      </c>
      <c r="E88">
        <v>93</v>
      </c>
      <c r="F88">
        <v>136</v>
      </c>
      <c r="G88">
        <v>98</v>
      </c>
      <c r="H88">
        <v>317</v>
      </c>
      <c r="I88">
        <v>0</v>
      </c>
      <c r="J88">
        <f>SUM(C88:I88)</f>
        <v>885</v>
      </c>
      <c r="L88"/>
    </row>
    <row r="89" spans="1:12" x14ac:dyDescent="0.35">
      <c r="A89" t="s">
        <v>17</v>
      </c>
      <c r="B89">
        <v>2003</v>
      </c>
      <c r="C89">
        <v>126</v>
      </c>
      <c r="D89">
        <v>96</v>
      </c>
      <c r="E89">
        <v>6</v>
      </c>
      <c r="F89">
        <v>250</v>
      </c>
      <c r="G89">
        <v>18</v>
      </c>
      <c r="H89">
        <v>221</v>
      </c>
      <c r="I89">
        <v>0</v>
      </c>
      <c r="J89">
        <f>SUM(C89:I89)</f>
        <v>717</v>
      </c>
      <c r="L89"/>
    </row>
    <row r="90" spans="1:12" x14ac:dyDescent="0.35">
      <c r="A90" t="s">
        <v>33</v>
      </c>
      <c r="B90">
        <v>2003</v>
      </c>
      <c r="C90">
        <v>114</v>
      </c>
      <c r="D90">
        <v>29</v>
      </c>
      <c r="E90">
        <v>20</v>
      </c>
      <c r="F90">
        <v>127</v>
      </c>
      <c r="G90">
        <v>0</v>
      </c>
      <c r="H90">
        <v>247</v>
      </c>
      <c r="I90">
        <v>0</v>
      </c>
      <c r="J90">
        <f>SUM(C90:I90)</f>
        <v>537</v>
      </c>
      <c r="L90"/>
    </row>
    <row r="91" spans="1:12" x14ac:dyDescent="0.35">
      <c r="A91" t="s">
        <v>38</v>
      </c>
      <c r="B91">
        <v>2003</v>
      </c>
      <c r="C91">
        <v>18</v>
      </c>
      <c r="D91">
        <v>28</v>
      </c>
      <c r="E91">
        <v>1</v>
      </c>
      <c r="F91">
        <v>11</v>
      </c>
      <c r="G91">
        <v>4</v>
      </c>
      <c r="H91">
        <v>93</v>
      </c>
      <c r="I91">
        <v>0</v>
      </c>
      <c r="J91">
        <f>SUM(C91:I91)</f>
        <v>155</v>
      </c>
      <c r="L91"/>
    </row>
    <row r="92" spans="1:12" x14ac:dyDescent="0.35">
      <c r="A92" t="s">
        <v>26</v>
      </c>
      <c r="B92">
        <v>2003</v>
      </c>
      <c r="C92">
        <v>54</v>
      </c>
      <c r="D92">
        <v>2</v>
      </c>
      <c r="E92">
        <v>0</v>
      </c>
      <c r="F92">
        <v>88</v>
      </c>
      <c r="G92">
        <v>0</v>
      </c>
      <c r="H92">
        <v>3</v>
      </c>
      <c r="I92">
        <v>0</v>
      </c>
      <c r="J92">
        <f>SUM(C92:I92)</f>
        <v>147</v>
      </c>
      <c r="L92"/>
    </row>
    <row r="93" spans="1:12" x14ac:dyDescent="0.35">
      <c r="A93" t="s">
        <v>10</v>
      </c>
      <c r="B93">
        <v>2003</v>
      </c>
      <c r="C93">
        <v>31</v>
      </c>
      <c r="D93">
        <v>51</v>
      </c>
      <c r="E93">
        <v>0</v>
      </c>
      <c r="F93">
        <v>43</v>
      </c>
      <c r="G93">
        <v>0</v>
      </c>
      <c r="H93">
        <v>14</v>
      </c>
      <c r="I93">
        <v>0</v>
      </c>
      <c r="J93">
        <f>SUM(C93:I93)</f>
        <v>139</v>
      </c>
      <c r="L93"/>
    </row>
    <row r="94" spans="1:12" x14ac:dyDescent="0.35">
      <c r="A94" t="s">
        <v>24</v>
      </c>
      <c r="B94">
        <v>2003</v>
      </c>
      <c r="C94">
        <v>18</v>
      </c>
      <c r="D94">
        <v>71</v>
      </c>
      <c r="E94">
        <v>0</v>
      </c>
      <c r="F94">
        <v>44</v>
      </c>
      <c r="G94">
        <v>0</v>
      </c>
      <c r="H94">
        <v>4</v>
      </c>
      <c r="I94">
        <v>0</v>
      </c>
      <c r="J94">
        <f>SUM(C94:I94)</f>
        <v>137</v>
      </c>
      <c r="L94"/>
    </row>
    <row r="95" spans="1:12" x14ac:dyDescent="0.35">
      <c r="A95" t="s">
        <v>42</v>
      </c>
      <c r="B95">
        <v>2003</v>
      </c>
      <c r="C95">
        <v>2</v>
      </c>
      <c r="D95">
        <v>13</v>
      </c>
      <c r="E95">
        <v>1</v>
      </c>
      <c r="F95">
        <v>56</v>
      </c>
      <c r="G95">
        <v>27</v>
      </c>
      <c r="H95">
        <v>4</v>
      </c>
      <c r="I95">
        <v>0</v>
      </c>
      <c r="J95">
        <f>SUM(C95:I95)</f>
        <v>103</v>
      </c>
      <c r="L95"/>
    </row>
    <row r="96" spans="1:12" x14ac:dyDescent="0.35">
      <c r="A96" t="s">
        <v>14</v>
      </c>
      <c r="B96">
        <v>2003</v>
      </c>
      <c r="C96">
        <v>31</v>
      </c>
      <c r="D96">
        <v>13</v>
      </c>
      <c r="E96">
        <v>2</v>
      </c>
      <c r="F96">
        <v>19</v>
      </c>
      <c r="G96">
        <v>7</v>
      </c>
      <c r="H96">
        <v>24</v>
      </c>
      <c r="I96">
        <v>0</v>
      </c>
      <c r="J96">
        <f>SUM(C96:I96)</f>
        <v>96</v>
      </c>
      <c r="L96"/>
    </row>
    <row r="97" spans="1:12" x14ac:dyDescent="0.35">
      <c r="A97" t="s">
        <v>25</v>
      </c>
      <c r="B97">
        <v>2003</v>
      </c>
      <c r="C97">
        <v>40</v>
      </c>
      <c r="D97">
        <v>10</v>
      </c>
      <c r="E97">
        <v>0</v>
      </c>
      <c r="F97">
        <v>13</v>
      </c>
      <c r="G97">
        <v>1</v>
      </c>
      <c r="H97">
        <v>4</v>
      </c>
      <c r="I97">
        <v>0</v>
      </c>
      <c r="J97">
        <f>SUM(C97:I97)</f>
        <v>68</v>
      </c>
      <c r="L97"/>
    </row>
    <row r="98" spans="1:12" x14ac:dyDescent="0.35">
      <c r="A98" t="s">
        <v>31</v>
      </c>
      <c r="B98">
        <v>2003</v>
      </c>
      <c r="C98">
        <v>10</v>
      </c>
      <c r="D98">
        <v>0</v>
      </c>
      <c r="E98">
        <v>0</v>
      </c>
      <c r="F98">
        <v>25</v>
      </c>
      <c r="G98">
        <v>0</v>
      </c>
      <c r="H98">
        <v>1</v>
      </c>
      <c r="I98">
        <v>0</v>
      </c>
      <c r="J98">
        <f>SUM(C98:I98)</f>
        <v>36</v>
      </c>
      <c r="L98"/>
    </row>
    <row r="99" spans="1:12" x14ac:dyDescent="0.35">
      <c r="A99" t="s">
        <v>27</v>
      </c>
      <c r="B99">
        <v>2003</v>
      </c>
      <c r="C99">
        <v>14</v>
      </c>
      <c r="D99">
        <v>3</v>
      </c>
      <c r="E99">
        <v>0</v>
      </c>
      <c r="F99">
        <v>4</v>
      </c>
      <c r="G99">
        <v>2</v>
      </c>
      <c r="H99">
        <v>0</v>
      </c>
      <c r="I99">
        <v>1</v>
      </c>
      <c r="J99">
        <f>SUM(C99:I99)</f>
        <v>24</v>
      </c>
      <c r="L99"/>
    </row>
    <row r="100" spans="1:12" x14ac:dyDescent="0.35">
      <c r="A100" t="s">
        <v>37</v>
      </c>
      <c r="B100">
        <v>2003</v>
      </c>
      <c r="C100">
        <v>2</v>
      </c>
      <c r="D100">
        <v>2</v>
      </c>
      <c r="E100">
        <v>0</v>
      </c>
      <c r="F100">
        <v>9</v>
      </c>
      <c r="G100">
        <v>2</v>
      </c>
      <c r="H100">
        <v>7</v>
      </c>
      <c r="I100">
        <v>0</v>
      </c>
      <c r="J100">
        <f>SUM(C100:I100)</f>
        <v>22</v>
      </c>
      <c r="L100"/>
    </row>
    <row r="101" spans="1:12" x14ac:dyDescent="0.35">
      <c r="A101" t="s">
        <v>39</v>
      </c>
      <c r="B101">
        <v>2003</v>
      </c>
      <c r="C101">
        <v>1</v>
      </c>
      <c r="D101">
        <v>4</v>
      </c>
      <c r="E101">
        <v>0</v>
      </c>
      <c r="F101">
        <v>4</v>
      </c>
      <c r="G101">
        <v>0</v>
      </c>
      <c r="H101">
        <v>2</v>
      </c>
      <c r="I101">
        <v>0</v>
      </c>
      <c r="J101">
        <f>SUM(C101:I101)</f>
        <v>11</v>
      </c>
      <c r="L101"/>
    </row>
    <row r="102" spans="1:12" x14ac:dyDescent="0.35">
      <c r="A102" t="s">
        <v>40</v>
      </c>
      <c r="B102">
        <v>2003</v>
      </c>
      <c r="C102">
        <v>5</v>
      </c>
      <c r="D102">
        <v>1</v>
      </c>
      <c r="E102">
        <v>1</v>
      </c>
      <c r="F102">
        <v>3</v>
      </c>
      <c r="G102">
        <v>0</v>
      </c>
      <c r="H102">
        <v>0</v>
      </c>
      <c r="I102">
        <v>0</v>
      </c>
      <c r="J102">
        <f>SUM(C102:I102)</f>
        <v>10</v>
      </c>
      <c r="L102"/>
    </row>
    <row r="103" spans="1:12" x14ac:dyDescent="0.35">
      <c r="A103" t="s">
        <v>41</v>
      </c>
      <c r="B103">
        <v>2003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</v>
      </c>
      <c r="J103">
        <f>SUM(C103:I103)</f>
        <v>4</v>
      </c>
      <c r="L103"/>
    </row>
    <row r="104" spans="1:12" x14ac:dyDescent="0.35">
      <c r="A104" t="s">
        <v>9</v>
      </c>
      <c r="B104">
        <v>2004</v>
      </c>
      <c r="C104">
        <v>1016</v>
      </c>
      <c r="D104">
        <v>1030</v>
      </c>
      <c r="E104">
        <v>512</v>
      </c>
      <c r="F104">
        <v>3817</v>
      </c>
      <c r="G104">
        <v>2310</v>
      </c>
      <c r="H104">
        <v>8388</v>
      </c>
      <c r="I104">
        <v>2</v>
      </c>
      <c r="J104">
        <f>SUM(C104:I104)</f>
        <v>17075</v>
      </c>
      <c r="L104"/>
    </row>
    <row r="105" spans="1:12" x14ac:dyDescent="0.35">
      <c r="A105" t="s">
        <v>22</v>
      </c>
      <c r="B105">
        <v>2004</v>
      </c>
      <c r="C105">
        <v>2875</v>
      </c>
      <c r="D105">
        <v>584</v>
      </c>
      <c r="E105">
        <v>751</v>
      </c>
      <c r="F105">
        <v>6690</v>
      </c>
      <c r="G105">
        <v>804</v>
      </c>
      <c r="H105">
        <v>3436</v>
      </c>
      <c r="I105">
        <v>0</v>
      </c>
      <c r="J105">
        <f>SUM(C105:I105)</f>
        <v>15140</v>
      </c>
      <c r="L105"/>
    </row>
    <row r="106" spans="1:12" x14ac:dyDescent="0.35">
      <c r="A106" t="s">
        <v>34</v>
      </c>
      <c r="B106">
        <v>2004</v>
      </c>
      <c r="C106">
        <v>1397</v>
      </c>
      <c r="D106">
        <v>2324</v>
      </c>
      <c r="E106">
        <v>1708</v>
      </c>
      <c r="F106">
        <v>1900</v>
      </c>
      <c r="G106">
        <v>2682</v>
      </c>
      <c r="H106">
        <v>4950</v>
      </c>
      <c r="I106">
        <v>3</v>
      </c>
      <c r="J106">
        <f>SUM(C106:I106)</f>
        <v>14964</v>
      </c>
      <c r="L106"/>
    </row>
    <row r="107" spans="1:12" x14ac:dyDescent="0.35">
      <c r="A107" t="s">
        <v>30</v>
      </c>
      <c r="B107">
        <v>2004</v>
      </c>
      <c r="C107">
        <v>1038</v>
      </c>
      <c r="D107">
        <v>1881</v>
      </c>
      <c r="E107">
        <v>379</v>
      </c>
      <c r="F107">
        <v>2825</v>
      </c>
      <c r="G107">
        <v>41</v>
      </c>
      <c r="H107">
        <v>6781</v>
      </c>
      <c r="I107">
        <v>1</v>
      </c>
      <c r="J107">
        <f>SUM(C107:I107)</f>
        <v>12946</v>
      </c>
      <c r="L107"/>
    </row>
    <row r="108" spans="1:12" x14ac:dyDescent="0.35">
      <c r="A108" t="s">
        <v>23</v>
      </c>
      <c r="B108">
        <v>2004</v>
      </c>
      <c r="C108">
        <v>1388</v>
      </c>
      <c r="D108">
        <v>787</v>
      </c>
      <c r="E108">
        <v>314</v>
      </c>
      <c r="F108">
        <v>2831</v>
      </c>
      <c r="G108">
        <v>862</v>
      </c>
      <c r="H108">
        <v>5646</v>
      </c>
      <c r="I108">
        <v>0</v>
      </c>
      <c r="J108">
        <f>SUM(C108:I108)</f>
        <v>11828</v>
      </c>
      <c r="L108"/>
    </row>
    <row r="109" spans="1:12" x14ac:dyDescent="0.35">
      <c r="A109" t="s">
        <v>36</v>
      </c>
      <c r="B109">
        <v>2004</v>
      </c>
      <c r="C109">
        <v>1475</v>
      </c>
      <c r="D109">
        <v>1018</v>
      </c>
      <c r="E109">
        <v>396</v>
      </c>
      <c r="F109">
        <v>1566</v>
      </c>
      <c r="G109">
        <v>64</v>
      </c>
      <c r="H109">
        <v>6334</v>
      </c>
      <c r="I109">
        <v>12</v>
      </c>
      <c r="J109">
        <f>SUM(C109:I109)</f>
        <v>10865</v>
      </c>
      <c r="L109"/>
    </row>
    <row r="110" spans="1:12" x14ac:dyDescent="0.35">
      <c r="A110" t="s">
        <v>12</v>
      </c>
      <c r="B110">
        <v>2004</v>
      </c>
      <c r="C110">
        <v>1390</v>
      </c>
      <c r="D110">
        <v>997</v>
      </c>
      <c r="E110">
        <v>1029</v>
      </c>
      <c r="F110">
        <v>704</v>
      </c>
      <c r="G110">
        <v>13</v>
      </c>
      <c r="H110">
        <v>2679</v>
      </c>
      <c r="I110">
        <v>35</v>
      </c>
      <c r="J110">
        <f>SUM(C110:I110)</f>
        <v>6847</v>
      </c>
      <c r="L110"/>
    </row>
    <row r="111" spans="1:12" x14ac:dyDescent="0.35">
      <c r="A111" t="s">
        <v>21</v>
      </c>
      <c r="B111">
        <v>2004</v>
      </c>
      <c r="C111">
        <v>480</v>
      </c>
      <c r="D111">
        <v>142</v>
      </c>
      <c r="E111">
        <v>31</v>
      </c>
      <c r="F111">
        <v>2260</v>
      </c>
      <c r="G111">
        <v>133</v>
      </c>
      <c r="H111">
        <v>3222</v>
      </c>
      <c r="I111">
        <v>0</v>
      </c>
      <c r="J111">
        <f>SUM(C111:I111)</f>
        <v>6268</v>
      </c>
      <c r="L111"/>
    </row>
    <row r="112" spans="1:12" x14ac:dyDescent="0.35">
      <c r="A112" t="s">
        <v>15</v>
      </c>
      <c r="B112">
        <v>2004</v>
      </c>
      <c r="C112">
        <v>339</v>
      </c>
      <c r="D112">
        <v>905</v>
      </c>
      <c r="E112">
        <v>58</v>
      </c>
      <c r="F112">
        <v>757</v>
      </c>
      <c r="G112">
        <v>164</v>
      </c>
      <c r="H112">
        <v>3955</v>
      </c>
      <c r="I112">
        <v>0</v>
      </c>
      <c r="J112">
        <f>SUM(C112:I112)</f>
        <v>6178</v>
      </c>
      <c r="L112"/>
    </row>
    <row r="113" spans="1:12" x14ac:dyDescent="0.35">
      <c r="A113" t="s">
        <v>32</v>
      </c>
      <c r="B113">
        <v>2004</v>
      </c>
      <c r="C113">
        <v>618</v>
      </c>
      <c r="D113">
        <v>692</v>
      </c>
      <c r="E113">
        <v>225</v>
      </c>
      <c r="F113">
        <v>1861</v>
      </c>
      <c r="G113">
        <v>1081</v>
      </c>
      <c r="H113">
        <v>1437</v>
      </c>
      <c r="I113">
        <v>0</v>
      </c>
      <c r="J113">
        <f>SUM(C113:I113)</f>
        <v>5914</v>
      </c>
      <c r="L113"/>
    </row>
    <row r="114" spans="1:12" x14ac:dyDescent="0.35">
      <c r="A114" t="s">
        <v>11</v>
      </c>
      <c r="B114">
        <v>2004</v>
      </c>
      <c r="C114">
        <v>1171</v>
      </c>
      <c r="D114">
        <v>1552</v>
      </c>
      <c r="E114">
        <v>74</v>
      </c>
      <c r="F114">
        <v>883</v>
      </c>
      <c r="G114">
        <v>11</v>
      </c>
      <c r="H114">
        <v>1945</v>
      </c>
      <c r="I114">
        <v>0</v>
      </c>
      <c r="J114">
        <f>SUM(C114:I114)</f>
        <v>5636</v>
      </c>
      <c r="L114"/>
    </row>
    <row r="115" spans="1:12" x14ac:dyDescent="0.35">
      <c r="A115" t="s">
        <v>28</v>
      </c>
      <c r="B115">
        <v>2004</v>
      </c>
      <c r="C115">
        <v>770</v>
      </c>
      <c r="D115">
        <v>423</v>
      </c>
      <c r="E115">
        <v>319</v>
      </c>
      <c r="F115">
        <v>1811</v>
      </c>
      <c r="G115">
        <v>170</v>
      </c>
      <c r="H115">
        <v>1192</v>
      </c>
      <c r="I115">
        <v>0</v>
      </c>
      <c r="J115">
        <f>SUM(C115:I115)</f>
        <v>4685</v>
      </c>
      <c r="L115"/>
    </row>
    <row r="116" spans="1:12" x14ac:dyDescent="0.35">
      <c r="A116" t="s">
        <v>16</v>
      </c>
      <c r="B116">
        <v>2004</v>
      </c>
      <c r="C116">
        <v>386</v>
      </c>
      <c r="D116">
        <v>292</v>
      </c>
      <c r="E116">
        <v>251</v>
      </c>
      <c r="F116">
        <v>403</v>
      </c>
      <c r="G116">
        <v>850</v>
      </c>
      <c r="H116">
        <v>2026</v>
      </c>
      <c r="I116">
        <v>0</v>
      </c>
      <c r="J116">
        <f>SUM(C116:I116)</f>
        <v>4208</v>
      </c>
      <c r="L116"/>
    </row>
    <row r="117" spans="1:12" x14ac:dyDescent="0.35">
      <c r="A117" t="s">
        <v>20</v>
      </c>
      <c r="B117">
        <v>2004</v>
      </c>
      <c r="C117">
        <v>291</v>
      </c>
      <c r="D117">
        <v>286</v>
      </c>
      <c r="E117">
        <v>259</v>
      </c>
      <c r="F117">
        <v>1435</v>
      </c>
      <c r="G117">
        <v>57</v>
      </c>
      <c r="H117">
        <v>1588</v>
      </c>
      <c r="I117">
        <v>0</v>
      </c>
      <c r="J117">
        <f>SUM(C117:I117)</f>
        <v>3916</v>
      </c>
      <c r="L117"/>
    </row>
    <row r="118" spans="1:12" x14ac:dyDescent="0.35">
      <c r="A118" t="s">
        <v>13</v>
      </c>
      <c r="B118">
        <v>2004</v>
      </c>
      <c r="C118">
        <v>969</v>
      </c>
      <c r="D118">
        <v>174</v>
      </c>
      <c r="E118">
        <v>71</v>
      </c>
      <c r="F118">
        <v>1661</v>
      </c>
      <c r="G118">
        <v>131</v>
      </c>
      <c r="H118">
        <v>741</v>
      </c>
      <c r="I118">
        <v>0</v>
      </c>
      <c r="J118">
        <f>SUM(C118:I118)</f>
        <v>3747</v>
      </c>
      <c r="L118"/>
    </row>
    <row r="119" spans="1:12" x14ac:dyDescent="0.35">
      <c r="A119" t="s">
        <v>19</v>
      </c>
      <c r="B119">
        <v>2004</v>
      </c>
      <c r="C119">
        <v>797</v>
      </c>
      <c r="D119">
        <v>178</v>
      </c>
      <c r="E119">
        <v>275</v>
      </c>
      <c r="F119">
        <v>411</v>
      </c>
      <c r="G119">
        <v>3</v>
      </c>
      <c r="H119">
        <v>588</v>
      </c>
      <c r="I119">
        <v>36</v>
      </c>
      <c r="J119">
        <f>SUM(C119:I119)</f>
        <v>2288</v>
      </c>
      <c r="L119"/>
    </row>
    <row r="120" spans="1:12" x14ac:dyDescent="0.35">
      <c r="A120" t="s">
        <v>18</v>
      </c>
      <c r="B120">
        <v>2004</v>
      </c>
      <c r="C120">
        <v>218</v>
      </c>
      <c r="D120">
        <v>632</v>
      </c>
      <c r="E120">
        <v>9</v>
      </c>
      <c r="F120">
        <v>990</v>
      </c>
      <c r="G120">
        <v>264</v>
      </c>
      <c r="H120">
        <v>82</v>
      </c>
      <c r="I120">
        <v>0</v>
      </c>
      <c r="J120">
        <f>SUM(C120:I120)</f>
        <v>2195</v>
      </c>
      <c r="L120"/>
    </row>
    <row r="121" spans="1:12" x14ac:dyDescent="0.35">
      <c r="A121" t="s">
        <v>29</v>
      </c>
      <c r="B121">
        <v>2004</v>
      </c>
      <c r="C121">
        <v>390</v>
      </c>
      <c r="D121">
        <v>311</v>
      </c>
      <c r="E121">
        <v>113</v>
      </c>
      <c r="F121">
        <v>261</v>
      </c>
      <c r="G121">
        <v>38</v>
      </c>
      <c r="H121">
        <v>801</v>
      </c>
      <c r="I121">
        <v>0</v>
      </c>
      <c r="J121">
        <f>SUM(C121:I121)</f>
        <v>1914</v>
      </c>
      <c r="L121"/>
    </row>
    <row r="122" spans="1:12" x14ac:dyDescent="0.35">
      <c r="A122" t="s">
        <v>35</v>
      </c>
      <c r="B122">
        <v>2004</v>
      </c>
      <c r="C122">
        <v>115</v>
      </c>
      <c r="D122">
        <v>127</v>
      </c>
      <c r="E122">
        <v>82</v>
      </c>
      <c r="F122">
        <v>143</v>
      </c>
      <c r="G122">
        <v>110</v>
      </c>
      <c r="H122">
        <v>405</v>
      </c>
      <c r="I122">
        <v>0</v>
      </c>
      <c r="J122">
        <f>SUM(C122:I122)</f>
        <v>982</v>
      </c>
      <c r="L122"/>
    </row>
    <row r="123" spans="1:12" x14ac:dyDescent="0.35">
      <c r="A123" t="s">
        <v>17</v>
      </c>
      <c r="B123">
        <v>2004</v>
      </c>
      <c r="C123">
        <v>153</v>
      </c>
      <c r="D123">
        <v>99</v>
      </c>
      <c r="E123">
        <v>8</v>
      </c>
      <c r="F123">
        <v>284</v>
      </c>
      <c r="G123">
        <v>16</v>
      </c>
      <c r="H123">
        <v>252</v>
      </c>
      <c r="I123">
        <v>0</v>
      </c>
      <c r="J123">
        <f>SUM(C123:I123)</f>
        <v>812</v>
      </c>
      <c r="L123"/>
    </row>
    <row r="124" spans="1:12" x14ac:dyDescent="0.35">
      <c r="A124" t="s">
        <v>33</v>
      </c>
      <c r="B124">
        <v>2004</v>
      </c>
      <c r="C124">
        <v>160</v>
      </c>
      <c r="D124">
        <v>54</v>
      </c>
      <c r="E124">
        <v>20</v>
      </c>
      <c r="F124">
        <v>134</v>
      </c>
      <c r="G124">
        <v>0</v>
      </c>
      <c r="H124">
        <v>302</v>
      </c>
      <c r="I124">
        <v>0</v>
      </c>
      <c r="J124">
        <f>SUM(C124:I124)</f>
        <v>670</v>
      </c>
      <c r="L124"/>
    </row>
    <row r="125" spans="1:12" x14ac:dyDescent="0.35">
      <c r="A125" t="s">
        <v>38</v>
      </c>
      <c r="B125">
        <v>2004</v>
      </c>
      <c r="C125">
        <v>19</v>
      </c>
      <c r="D125">
        <v>43</v>
      </c>
      <c r="E125">
        <v>6</v>
      </c>
      <c r="F125">
        <v>20</v>
      </c>
      <c r="G125">
        <v>18</v>
      </c>
      <c r="H125">
        <v>73</v>
      </c>
      <c r="I125">
        <v>0</v>
      </c>
      <c r="J125">
        <f>SUM(C125:I125)</f>
        <v>179</v>
      </c>
      <c r="L125"/>
    </row>
    <row r="126" spans="1:12" x14ac:dyDescent="0.35">
      <c r="A126" t="s">
        <v>10</v>
      </c>
      <c r="B126">
        <v>2004</v>
      </c>
      <c r="C126">
        <v>42</v>
      </c>
      <c r="D126">
        <v>41</v>
      </c>
      <c r="E126">
        <v>0</v>
      </c>
      <c r="F126">
        <v>61</v>
      </c>
      <c r="G126">
        <v>0</v>
      </c>
      <c r="H126">
        <v>4</v>
      </c>
      <c r="I126">
        <v>0</v>
      </c>
      <c r="J126">
        <f>SUM(C126:I126)</f>
        <v>148</v>
      </c>
      <c r="L126"/>
    </row>
    <row r="127" spans="1:12" x14ac:dyDescent="0.35">
      <c r="A127" t="s">
        <v>24</v>
      </c>
      <c r="B127">
        <v>2004</v>
      </c>
      <c r="C127">
        <v>31</v>
      </c>
      <c r="D127">
        <v>71</v>
      </c>
      <c r="E127">
        <v>0</v>
      </c>
      <c r="F127">
        <v>30</v>
      </c>
      <c r="G127">
        <v>0</v>
      </c>
      <c r="H127">
        <v>2</v>
      </c>
      <c r="I127">
        <v>0</v>
      </c>
      <c r="J127">
        <f>SUM(C127:I127)</f>
        <v>134</v>
      </c>
      <c r="L127"/>
    </row>
    <row r="128" spans="1:12" x14ac:dyDescent="0.35">
      <c r="A128" t="s">
        <v>25</v>
      </c>
      <c r="B128">
        <v>2004</v>
      </c>
      <c r="C128">
        <v>54</v>
      </c>
      <c r="D128">
        <v>18</v>
      </c>
      <c r="E128">
        <v>2</v>
      </c>
      <c r="F128">
        <v>34</v>
      </c>
      <c r="G128">
        <v>0</v>
      </c>
      <c r="H128">
        <v>5</v>
      </c>
      <c r="I128">
        <v>0</v>
      </c>
      <c r="J128">
        <f>SUM(C128:I128)</f>
        <v>113</v>
      </c>
      <c r="L128"/>
    </row>
    <row r="129" spans="1:12" x14ac:dyDescent="0.35">
      <c r="A129" t="s">
        <v>14</v>
      </c>
      <c r="B129">
        <v>2004</v>
      </c>
      <c r="C129">
        <v>37</v>
      </c>
      <c r="D129">
        <v>10</v>
      </c>
      <c r="E129">
        <v>2</v>
      </c>
      <c r="F129">
        <v>23</v>
      </c>
      <c r="G129">
        <v>15</v>
      </c>
      <c r="H129">
        <v>17</v>
      </c>
      <c r="I129">
        <v>0</v>
      </c>
      <c r="J129">
        <f>SUM(C129:I129)</f>
        <v>104</v>
      </c>
      <c r="L129"/>
    </row>
    <row r="130" spans="1:12" x14ac:dyDescent="0.35">
      <c r="A130" t="s">
        <v>42</v>
      </c>
      <c r="B130">
        <v>2004</v>
      </c>
      <c r="C130">
        <v>4</v>
      </c>
      <c r="D130">
        <v>8</v>
      </c>
      <c r="E130">
        <v>6</v>
      </c>
      <c r="F130">
        <v>50</v>
      </c>
      <c r="G130">
        <v>30</v>
      </c>
      <c r="H130">
        <v>2</v>
      </c>
      <c r="I130">
        <v>0</v>
      </c>
      <c r="J130">
        <f>SUM(C130:I130)</f>
        <v>100</v>
      </c>
      <c r="L130"/>
    </row>
    <row r="131" spans="1:12" x14ac:dyDescent="0.35">
      <c r="A131" t="s">
        <v>26</v>
      </c>
      <c r="B131">
        <v>2004</v>
      </c>
      <c r="C131">
        <v>20</v>
      </c>
      <c r="D131">
        <v>0</v>
      </c>
      <c r="E131">
        <v>0</v>
      </c>
      <c r="F131">
        <v>66</v>
      </c>
      <c r="G131">
        <v>0</v>
      </c>
      <c r="H131">
        <v>0</v>
      </c>
      <c r="I131">
        <v>0</v>
      </c>
      <c r="J131">
        <f>SUM(C131:I131)</f>
        <v>86</v>
      </c>
      <c r="L131"/>
    </row>
    <row r="132" spans="1:12" x14ac:dyDescent="0.35">
      <c r="A132" t="s">
        <v>31</v>
      </c>
      <c r="B132">
        <v>2004</v>
      </c>
      <c r="C132">
        <v>3</v>
      </c>
      <c r="D132">
        <v>4</v>
      </c>
      <c r="E132">
        <v>0</v>
      </c>
      <c r="F132">
        <v>40</v>
      </c>
      <c r="G132">
        <v>0</v>
      </c>
      <c r="H132">
        <v>1</v>
      </c>
      <c r="I132">
        <v>0</v>
      </c>
      <c r="J132">
        <f>SUM(C132:I132)</f>
        <v>48</v>
      </c>
      <c r="L132"/>
    </row>
    <row r="133" spans="1:12" x14ac:dyDescent="0.35">
      <c r="A133" t="s">
        <v>37</v>
      </c>
      <c r="B133">
        <v>2004</v>
      </c>
      <c r="C133">
        <v>10</v>
      </c>
      <c r="D133">
        <v>3</v>
      </c>
      <c r="E133">
        <v>0</v>
      </c>
      <c r="F133">
        <v>6</v>
      </c>
      <c r="G133">
        <v>3</v>
      </c>
      <c r="H133">
        <v>5</v>
      </c>
      <c r="I133">
        <v>0</v>
      </c>
      <c r="J133">
        <f>SUM(C133:I133)</f>
        <v>27</v>
      </c>
      <c r="L133"/>
    </row>
    <row r="134" spans="1:12" x14ac:dyDescent="0.35">
      <c r="A134" t="s">
        <v>27</v>
      </c>
      <c r="B134">
        <v>2004</v>
      </c>
      <c r="C134">
        <v>18</v>
      </c>
      <c r="D134">
        <v>4</v>
      </c>
      <c r="E134">
        <v>0</v>
      </c>
      <c r="F134">
        <v>3</v>
      </c>
      <c r="G134">
        <v>1</v>
      </c>
      <c r="H134">
        <v>0</v>
      </c>
      <c r="I134">
        <v>0</v>
      </c>
      <c r="J134">
        <f>SUM(C134:I134)</f>
        <v>26</v>
      </c>
      <c r="L134"/>
    </row>
    <row r="135" spans="1:12" x14ac:dyDescent="0.35">
      <c r="A135" t="s">
        <v>39</v>
      </c>
      <c r="B135">
        <v>2004</v>
      </c>
      <c r="C135">
        <v>7</v>
      </c>
      <c r="D135">
        <v>7</v>
      </c>
      <c r="E135">
        <v>0</v>
      </c>
      <c r="F135">
        <v>5</v>
      </c>
      <c r="G135">
        <v>0</v>
      </c>
      <c r="H135">
        <v>3</v>
      </c>
      <c r="I135">
        <v>0</v>
      </c>
      <c r="J135">
        <f>SUM(C135:I135)</f>
        <v>22</v>
      </c>
      <c r="L135"/>
    </row>
    <row r="136" spans="1:12" x14ac:dyDescent="0.35">
      <c r="A136" t="s">
        <v>40</v>
      </c>
      <c r="B136">
        <v>2004</v>
      </c>
      <c r="C136">
        <v>1</v>
      </c>
      <c r="D136">
        <v>0</v>
      </c>
      <c r="E136">
        <v>0</v>
      </c>
      <c r="F136">
        <v>1</v>
      </c>
      <c r="G136">
        <v>0</v>
      </c>
      <c r="H136">
        <v>4</v>
      </c>
      <c r="I136">
        <v>0</v>
      </c>
      <c r="J136">
        <f>SUM(C136:I136)</f>
        <v>6</v>
      </c>
      <c r="L136"/>
    </row>
    <row r="137" spans="1:12" x14ac:dyDescent="0.35">
      <c r="A137" t="s">
        <v>41</v>
      </c>
      <c r="B137">
        <v>2004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f>SUM(C137:I137)</f>
        <v>1</v>
      </c>
      <c r="L137"/>
    </row>
    <row r="138" spans="1:12" x14ac:dyDescent="0.35">
      <c r="A138" t="s">
        <v>9</v>
      </c>
      <c r="B138">
        <v>2005</v>
      </c>
      <c r="C138">
        <v>935</v>
      </c>
      <c r="D138">
        <v>995</v>
      </c>
      <c r="E138">
        <v>443</v>
      </c>
      <c r="F138">
        <v>3595</v>
      </c>
      <c r="G138">
        <v>2508</v>
      </c>
      <c r="H138">
        <v>8696</v>
      </c>
      <c r="I138">
        <v>3</v>
      </c>
      <c r="J138">
        <f>SUM(C138:I138)</f>
        <v>17175</v>
      </c>
      <c r="L138"/>
    </row>
    <row r="139" spans="1:12" x14ac:dyDescent="0.35">
      <c r="A139" t="s">
        <v>22</v>
      </c>
      <c r="B139">
        <v>2005</v>
      </c>
      <c r="C139">
        <v>2921</v>
      </c>
      <c r="D139">
        <v>604</v>
      </c>
      <c r="E139">
        <v>739</v>
      </c>
      <c r="F139">
        <v>6426</v>
      </c>
      <c r="G139">
        <v>792</v>
      </c>
      <c r="H139">
        <v>2989</v>
      </c>
      <c r="I139">
        <v>3</v>
      </c>
      <c r="J139">
        <f>SUM(C139:I139)</f>
        <v>14474</v>
      </c>
      <c r="L139"/>
    </row>
    <row r="140" spans="1:12" x14ac:dyDescent="0.35">
      <c r="A140" t="s">
        <v>34</v>
      </c>
      <c r="B140">
        <v>2005</v>
      </c>
      <c r="C140">
        <v>1217</v>
      </c>
      <c r="D140">
        <v>2256</v>
      </c>
      <c r="E140">
        <v>1564</v>
      </c>
      <c r="F140">
        <v>1835</v>
      </c>
      <c r="G140">
        <v>2881</v>
      </c>
      <c r="H140">
        <v>4505</v>
      </c>
      <c r="I140">
        <v>0</v>
      </c>
      <c r="J140">
        <f>SUM(C140:I140)</f>
        <v>14258</v>
      </c>
      <c r="L140"/>
    </row>
    <row r="141" spans="1:12" x14ac:dyDescent="0.35">
      <c r="A141" t="s">
        <v>23</v>
      </c>
      <c r="B141">
        <v>2005</v>
      </c>
      <c r="C141">
        <v>1545</v>
      </c>
      <c r="D141">
        <v>851</v>
      </c>
      <c r="E141">
        <v>341</v>
      </c>
      <c r="F141">
        <v>3228</v>
      </c>
      <c r="G141">
        <v>919</v>
      </c>
      <c r="H141">
        <v>6233</v>
      </c>
      <c r="I141">
        <v>0</v>
      </c>
      <c r="J141">
        <f>SUM(C141:I141)</f>
        <v>13117</v>
      </c>
      <c r="L141"/>
    </row>
    <row r="142" spans="1:12" x14ac:dyDescent="0.35">
      <c r="A142" t="s">
        <v>36</v>
      </c>
      <c r="B142">
        <v>2005</v>
      </c>
      <c r="C142">
        <v>1686</v>
      </c>
      <c r="D142">
        <v>1039</v>
      </c>
      <c r="E142">
        <v>446</v>
      </c>
      <c r="F142">
        <v>1572</v>
      </c>
      <c r="G142">
        <v>54</v>
      </c>
      <c r="H142">
        <v>6936</v>
      </c>
      <c r="I142">
        <v>61</v>
      </c>
      <c r="J142">
        <f>SUM(C142:I142)</f>
        <v>11794</v>
      </c>
      <c r="L142"/>
    </row>
    <row r="143" spans="1:12" x14ac:dyDescent="0.35">
      <c r="A143" t="s">
        <v>30</v>
      </c>
      <c r="B143">
        <v>2005</v>
      </c>
      <c r="C143">
        <v>993</v>
      </c>
      <c r="D143">
        <v>1549</v>
      </c>
      <c r="E143">
        <v>361</v>
      </c>
      <c r="F143">
        <v>2503</v>
      </c>
      <c r="G143">
        <v>28</v>
      </c>
      <c r="H143">
        <v>5997</v>
      </c>
      <c r="I143">
        <v>0</v>
      </c>
      <c r="J143">
        <f>SUM(C143:I143)</f>
        <v>11431</v>
      </c>
      <c r="L143"/>
    </row>
    <row r="144" spans="1:12" x14ac:dyDescent="0.35">
      <c r="A144" t="s">
        <v>21</v>
      </c>
      <c r="B144">
        <v>2005</v>
      </c>
      <c r="C144">
        <v>478</v>
      </c>
      <c r="D144">
        <v>129</v>
      </c>
      <c r="E144">
        <v>21</v>
      </c>
      <c r="F144">
        <v>2339</v>
      </c>
      <c r="G144">
        <v>175</v>
      </c>
      <c r="H144">
        <v>3283</v>
      </c>
      <c r="I144">
        <v>0</v>
      </c>
      <c r="J144">
        <f>SUM(C144:I144)</f>
        <v>6425</v>
      </c>
      <c r="L144"/>
    </row>
    <row r="145" spans="1:12" x14ac:dyDescent="0.35">
      <c r="A145" t="s">
        <v>15</v>
      </c>
      <c r="B145">
        <v>2005</v>
      </c>
      <c r="C145">
        <v>324</v>
      </c>
      <c r="D145">
        <v>916</v>
      </c>
      <c r="E145">
        <v>48</v>
      </c>
      <c r="F145">
        <v>802</v>
      </c>
      <c r="G145">
        <v>104</v>
      </c>
      <c r="H145">
        <v>4090</v>
      </c>
      <c r="I145">
        <v>0</v>
      </c>
      <c r="J145">
        <f>SUM(C145:I145)</f>
        <v>6284</v>
      </c>
      <c r="L145"/>
    </row>
    <row r="146" spans="1:12" x14ac:dyDescent="0.35">
      <c r="A146" t="s">
        <v>11</v>
      </c>
      <c r="B146">
        <v>2005</v>
      </c>
      <c r="C146">
        <v>1238</v>
      </c>
      <c r="D146">
        <v>1456</v>
      </c>
      <c r="E146">
        <v>99</v>
      </c>
      <c r="F146">
        <v>899</v>
      </c>
      <c r="G146">
        <v>19</v>
      </c>
      <c r="H146">
        <v>2206</v>
      </c>
      <c r="I146">
        <v>3</v>
      </c>
      <c r="J146">
        <f>SUM(C146:I146)</f>
        <v>5920</v>
      </c>
      <c r="L146"/>
    </row>
    <row r="147" spans="1:12" x14ac:dyDescent="0.35">
      <c r="A147" t="s">
        <v>28</v>
      </c>
      <c r="B147">
        <v>2005</v>
      </c>
      <c r="C147">
        <v>799</v>
      </c>
      <c r="D147">
        <v>547</v>
      </c>
      <c r="E147">
        <v>334</v>
      </c>
      <c r="F147">
        <v>2238</v>
      </c>
      <c r="G147">
        <v>184</v>
      </c>
      <c r="H147">
        <v>1671</v>
      </c>
      <c r="I147">
        <v>0</v>
      </c>
      <c r="J147">
        <f>SUM(C147:I147)</f>
        <v>5773</v>
      </c>
      <c r="L147"/>
    </row>
    <row r="148" spans="1:12" x14ac:dyDescent="0.35">
      <c r="A148" t="s">
        <v>32</v>
      </c>
      <c r="B148">
        <v>2005</v>
      </c>
      <c r="C148">
        <v>571</v>
      </c>
      <c r="D148">
        <v>783</v>
      </c>
      <c r="E148">
        <v>215</v>
      </c>
      <c r="F148">
        <v>1764</v>
      </c>
      <c r="G148">
        <v>665</v>
      </c>
      <c r="H148">
        <v>1650</v>
      </c>
      <c r="I148">
        <v>0</v>
      </c>
      <c r="J148">
        <f>SUM(C148:I148)</f>
        <v>5648</v>
      </c>
      <c r="L148"/>
    </row>
    <row r="149" spans="1:12" x14ac:dyDescent="0.35">
      <c r="A149" t="s">
        <v>12</v>
      </c>
      <c r="B149">
        <v>2005</v>
      </c>
      <c r="C149">
        <v>1147</v>
      </c>
      <c r="D149">
        <v>929</v>
      </c>
      <c r="E149">
        <v>1014</v>
      </c>
      <c r="F149">
        <v>451</v>
      </c>
      <c r="G149">
        <v>13</v>
      </c>
      <c r="H149">
        <v>1574</v>
      </c>
      <c r="I149">
        <v>74</v>
      </c>
      <c r="J149">
        <f>SUM(C149:I149)</f>
        <v>5202</v>
      </c>
      <c r="L149"/>
    </row>
    <row r="150" spans="1:12" x14ac:dyDescent="0.35">
      <c r="A150" t="s">
        <v>20</v>
      </c>
      <c r="B150">
        <v>2005</v>
      </c>
      <c r="C150">
        <v>343</v>
      </c>
      <c r="D150">
        <v>312</v>
      </c>
      <c r="E150">
        <v>261</v>
      </c>
      <c r="F150">
        <v>1585</v>
      </c>
      <c r="G150">
        <v>71</v>
      </c>
      <c r="H150">
        <v>1883</v>
      </c>
      <c r="I150">
        <v>0</v>
      </c>
      <c r="J150">
        <f>SUM(C150:I150)</f>
        <v>4455</v>
      </c>
      <c r="L150"/>
    </row>
    <row r="151" spans="1:12" x14ac:dyDescent="0.35">
      <c r="A151" t="s">
        <v>16</v>
      </c>
      <c r="B151">
        <v>2005</v>
      </c>
      <c r="C151">
        <v>461</v>
      </c>
      <c r="D151">
        <v>344</v>
      </c>
      <c r="E151">
        <v>212</v>
      </c>
      <c r="F151">
        <v>380</v>
      </c>
      <c r="G151">
        <v>597</v>
      </c>
      <c r="H151">
        <v>2075</v>
      </c>
      <c r="I151">
        <v>0</v>
      </c>
      <c r="J151">
        <f>SUM(C151:I151)</f>
        <v>4069</v>
      </c>
      <c r="L151"/>
    </row>
    <row r="152" spans="1:12" x14ac:dyDescent="0.35">
      <c r="A152" t="s">
        <v>13</v>
      </c>
      <c r="B152">
        <v>2005</v>
      </c>
      <c r="C152">
        <v>990</v>
      </c>
      <c r="D152">
        <v>184</v>
      </c>
      <c r="E152">
        <v>100</v>
      </c>
      <c r="F152">
        <v>1450</v>
      </c>
      <c r="G152">
        <v>132</v>
      </c>
      <c r="H152">
        <v>732</v>
      </c>
      <c r="I152">
        <v>0</v>
      </c>
      <c r="J152">
        <f>SUM(C152:I152)</f>
        <v>3588</v>
      </c>
      <c r="L152"/>
    </row>
    <row r="153" spans="1:12" x14ac:dyDescent="0.35">
      <c r="A153" t="s">
        <v>19</v>
      </c>
      <c r="B153">
        <v>2005</v>
      </c>
      <c r="C153">
        <v>753</v>
      </c>
      <c r="D153">
        <v>283</v>
      </c>
      <c r="E153">
        <v>257</v>
      </c>
      <c r="F153">
        <v>293</v>
      </c>
      <c r="G153">
        <v>36</v>
      </c>
      <c r="H153">
        <v>590</v>
      </c>
      <c r="I153">
        <v>4</v>
      </c>
      <c r="J153">
        <f>SUM(C153:I153)</f>
        <v>2216</v>
      </c>
      <c r="L153"/>
    </row>
    <row r="154" spans="1:12" x14ac:dyDescent="0.35">
      <c r="A154" t="s">
        <v>18</v>
      </c>
      <c r="B154">
        <v>2005</v>
      </c>
      <c r="C154">
        <v>201</v>
      </c>
      <c r="D154">
        <v>658</v>
      </c>
      <c r="E154">
        <v>5</v>
      </c>
      <c r="F154">
        <v>830</v>
      </c>
      <c r="G154">
        <v>371</v>
      </c>
      <c r="H154">
        <v>76</v>
      </c>
      <c r="I154">
        <v>0</v>
      </c>
      <c r="J154">
        <f>SUM(C154:I154)</f>
        <v>2141</v>
      </c>
      <c r="L154"/>
    </row>
    <row r="155" spans="1:12" x14ac:dyDescent="0.35">
      <c r="A155" t="s">
        <v>29</v>
      </c>
      <c r="B155">
        <v>2005</v>
      </c>
      <c r="C155">
        <v>398</v>
      </c>
      <c r="D155">
        <v>329</v>
      </c>
      <c r="E155">
        <v>99</v>
      </c>
      <c r="F155">
        <v>308</v>
      </c>
      <c r="G155">
        <v>43</v>
      </c>
      <c r="H155">
        <v>729</v>
      </c>
      <c r="I155">
        <v>0</v>
      </c>
      <c r="J155">
        <f>SUM(C155:I155)</f>
        <v>1906</v>
      </c>
      <c r="L155"/>
    </row>
    <row r="156" spans="1:12" x14ac:dyDescent="0.35">
      <c r="A156" t="s">
        <v>33</v>
      </c>
      <c r="B156">
        <v>2005</v>
      </c>
      <c r="C156">
        <v>162</v>
      </c>
      <c r="D156">
        <v>43</v>
      </c>
      <c r="E156">
        <v>34</v>
      </c>
      <c r="F156">
        <v>161</v>
      </c>
      <c r="G156">
        <v>1</v>
      </c>
      <c r="H156">
        <v>439</v>
      </c>
      <c r="I156">
        <v>0</v>
      </c>
      <c r="J156">
        <f>SUM(C156:I156)</f>
        <v>840</v>
      </c>
      <c r="L156"/>
    </row>
    <row r="157" spans="1:12" x14ac:dyDescent="0.35">
      <c r="A157" t="s">
        <v>17</v>
      </c>
      <c r="B157">
        <v>2005</v>
      </c>
      <c r="C157">
        <v>141</v>
      </c>
      <c r="D157">
        <v>102</v>
      </c>
      <c r="E157">
        <v>2</v>
      </c>
      <c r="F157">
        <v>286</v>
      </c>
      <c r="G157">
        <v>29</v>
      </c>
      <c r="H157">
        <v>228</v>
      </c>
      <c r="I157">
        <v>0</v>
      </c>
      <c r="J157">
        <f>SUM(C157:I157)</f>
        <v>788</v>
      </c>
      <c r="L157"/>
    </row>
    <row r="158" spans="1:12" x14ac:dyDescent="0.35">
      <c r="A158" t="s">
        <v>35</v>
      </c>
      <c r="B158">
        <v>2005</v>
      </c>
      <c r="C158">
        <v>133</v>
      </c>
      <c r="D158">
        <v>125</v>
      </c>
      <c r="E158">
        <v>63</v>
      </c>
      <c r="F158">
        <v>100</v>
      </c>
      <c r="G158">
        <v>89</v>
      </c>
      <c r="H158">
        <v>272</v>
      </c>
      <c r="I158">
        <v>0</v>
      </c>
      <c r="J158">
        <f>SUM(C158:I158)</f>
        <v>782</v>
      </c>
      <c r="L158"/>
    </row>
    <row r="159" spans="1:12" x14ac:dyDescent="0.35">
      <c r="A159" t="s">
        <v>38</v>
      </c>
      <c r="B159">
        <v>2005</v>
      </c>
      <c r="C159">
        <v>33</v>
      </c>
      <c r="D159">
        <v>45</v>
      </c>
      <c r="E159">
        <v>3</v>
      </c>
      <c r="F159">
        <v>31</v>
      </c>
      <c r="G159">
        <v>9</v>
      </c>
      <c r="H159">
        <v>75</v>
      </c>
      <c r="I159">
        <v>0</v>
      </c>
      <c r="J159">
        <f>SUM(C159:I159)</f>
        <v>196</v>
      </c>
      <c r="L159"/>
    </row>
    <row r="160" spans="1:12" x14ac:dyDescent="0.35">
      <c r="A160" t="s">
        <v>10</v>
      </c>
      <c r="B160">
        <v>2005</v>
      </c>
      <c r="C160">
        <v>35</v>
      </c>
      <c r="D160">
        <v>39</v>
      </c>
      <c r="E160">
        <v>0</v>
      </c>
      <c r="F160">
        <v>67</v>
      </c>
      <c r="G160">
        <v>0</v>
      </c>
      <c r="H160">
        <v>9</v>
      </c>
      <c r="I160">
        <v>0</v>
      </c>
      <c r="J160">
        <f>SUM(C160:I160)</f>
        <v>150</v>
      </c>
      <c r="L160"/>
    </row>
    <row r="161" spans="1:12" x14ac:dyDescent="0.35">
      <c r="A161" t="s">
        <v>24</v>
      </c>
      <c r="B161">
        <v>2005</v>
      </c>
      <c r="C161">
        <v>25</v>
      </c>
      <c r="D161">
        <v>69</v>
      </c>
      <c r="E161">
        <v>0</v>
      </c>
      <c r="F161">
        <v>25</v>
      </c>
      <c r="G161">
        <v>0</v>
      </c>
      <c r="H161">
        <v>20</v>
      </c>
      <c r="I161">
        <v>0</v>
      </c>
      <c r="J161">
        <f>SUM(C161:I161)</f>
        <v>139</v>
      </c>
      <c r="L161"/>
    </row>
    <row r="162" spans="1:12" x14ac:dyDescent="0.35">
      <c r="A162" t="s">
        <v>25</v>
      </c>
      <c r="B162">
        <v>2005</v>
      </c>
      <c r="C162">
        <v>63</v>
      </c>
      <c r="D162">
        <v>19</v>
      </c>
      <c r="E162">
        <v>1</v>
      </c>
      <c r="F162">
        <v>44</v>
      </c>
      <c r="G162">
        <v>0</v>
      </c>
      <c r="H162">
        <v>3</v>
      </c>
      <c r="I162">
        <v>0</v>
      </c>
      <c r="J162">
        <f>SUM(C162:I162)</f>
        <v>130</v>
      </c>
      <c r="L162"/>
    </row>
    <row r="163" spans="1:12" x14ac:dyDescent="0.35">
      <c r="A163" t="s">
        <v>42</v>
      </c>
      <c r="B163">
        <v>2005</v>
      </c>
      <c r="C163">
        <v>6</v>
      </c>
      <c r="D163">
        <v>3</v>
      </c>
      <c r="E163">
        <v>4</v>
      </c>
      <c r="F163">
        <v>60</v>
      </c>
      <c r="G163">
        <v>26</v>
      </c>
      <c r="H163">
        <v>6</v>
      </c>
      <c r="I163">
        <v>0</v>
      </c>
      <c r="J163">
        <f>SUM(C163:I163)</f>
        <v>105</v>
      </c>
      <c r="L163"/>
    </row>
    <row r="164" spans="1:12" x14ac:dyDescent="0.35">
      <c r="A164" t="s">
        <v>26</v>
      </c>
      <c r="B164">
        <v>2005</v>
      </c>
      <c r="C164">
        <v>37</v>
      </c>
      <c r="D164">
        <v>0</v>
      </c>
      <c r="E164">
        <v>4</v>
      </c>
      <c r="F164">
        <v>49</v>
      </c>
      <c r="G164">
        <v>4</v>
      </c>
      <c r="H164">
        <v>0</v>
      </c>
      <c r="I164">
        <v>0</v>
      </c>
      <c r="J164">
        <f>SUM(C164:I164)</f>
        <v>94</v>
      </c>
      <c r="L164"/>
    </row>
    <row r="165" spans="1:12" x14ac:dyDescent="0.35">
      <c r="A165" t="s">
        <v>14</v>
      </c>
      <c r="B165">
        <v>2005</v>
      </c>
      <c r="C165">
        <v>20</v>
      </c>
      <c r="D165">
        <v>12</v>
      </c>
      <c r="E165">
        <v>2</v>
      </c>
      <c r="F165">
        <v>30</v>
      </c>
      <c r="G165">
        <v>8</v>
      </c>
      <c r="H165">
        <v>11</v>
      </c>
      <c r="I165">
        <v>0</v>
      </c>
      <c r="J165">
        <f>SUM(C165:I165)</f>
        <v>83</v>
      </c>
      <c r="L165"/>
    </row>
    <row r="166" spans="1:12" x14ac:dyDescent="0.35">
      <c r="A166" t="s">
        <v>31</v>
      </c>
      <c r="B166">
        <v>2005</v>
      </c>
      <c r="C166">
        <v>18</v>
      </c>
      <c r="D166">
        <v>2</v>
      </c>
      <c r="E166">
        <v>0</v>
      </c>
      <c r="F166">
        <v>38</v>
      </c>
      <c r="G166">
        <v>0</v>
      </c>
      <c r="H166">
        <v>4</v>
      </c>
      <c r="I166">
        <v>0</v>
      </c>
      <c r="J166">
        <f>SUM(C166:I166)</f>
        <v>62</v>
      </c>
      <c r="L166"/>
    </row>
    <row r="167" spans="1:12" x14ac:dyDescent="0.35">
      <c r="A167" t="s">
        <v>27</v>
      </c>
      <c r="B167">
        <v>2005</v>
      </c>
      <c r="C167">
        <v>17</v>
      </c>
      <c r="D167">
        <v>9</v>
      </c>
      <c r="E167">
        <v>0</v>
      </c>
      <c r="F167">
        <v>7</v>
      </c>
      <c r="G167">
        <v>0</v>
      </c>
      <c r="H167">
        <v>0</v>
      </c>
      <c r="I167">
        <v>0</v>
      </c>
      <c r="J167">
        <f>SUM(C167:I167)</f>
        <v>33</v>
      </c>
      <c r="L167"/>
    </row>
    <row r="168" spans="1:12" x14ac:dyDescent="0.35">
      <c r="A168" t="s">
        <v>39</v>
      </c>
      <c r="B168">
        <v>2005</v>
      </c>
      <c r="C168">
        <v>5</v>
      </c>
      <c r="D168">
        <v>9</v>
      </c>
      <c r="E168">
        <v>0</v>
      </c>
      <c r="F168">
        <v>5</v>
      </c>
      <c r="G168">
        <v>0</v>
      </c>
      <c r="H168">
        <v>5</v>
      </c>
      <c r="I168">
        <v>0</v>
      </c>
      <c r="J168">
        <f>SUM(C168:I168)</f>
        <v>24</v>
      </c>
      <c r="L168"/>
    </row>
    <row r="169" spans="1:12" x14ac:dyDescent="0.35">
      <c r="A169" t="s">
        <v>37</v>
      </c>
      <c r="B169">
        <v>2005</v>
      </c>
      <c r="C169">
        <v>4</v>
      </c>
      <c r="D169">
        <v>1</v>
      </c>
      <c r="E169">
        <v>0</v>
      </c>
      <c r="F169">
        <v>11</v>
      </c>
      <c r="G169">
        <v>1</v>
      </c>
      <c r="H169">
        <v>5</v>
      </c>
      <c r="I169">
        <v>0</v>
      </c>
      <c r="J169">
        <f>SUM(C169:I169)</f>
        <v>22</v>
      </c>
      <c r="L169"/>
    </row>
    <row r="170" spans="1:12" x14ac:dyDescent="0.35">
      <c r="A170" t="s">
        <v>40</v>
      </c>
      <c r="B170">
        <v>2005</v>
      </c>
      <c r="C170">
        <v>2</v>
      </c>
      <c r="D170">
        <v>2</v>
      </c>
      <c r="E170">
        <v>1</v>
      </c>
      <c r="F170">
        <v>1</v>
      </c>
      <c r="G170">
        <v>0</v>
      </c>
      <c r="H170">
        <v>3</v>
      </c>
      <c r="I170">
        <v>0</v>
      </c>
      <c r="J170">
        <f>SUM(C170:I170)</f>
        <v>9</v>
      </c>
      <c r="L170"/>
    </row>
    <row r="171" spans="1:12" x14ac:dyDescent="0.35">
      <c r="A171" t="s">
        <v>41</v>
      </c>
      <c r="B171">
        <v>2005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f>SUM(C171:I171)</f>
        <v>0</v>
      </c>
      <c r="L171"/>
    </row>
    <row r="172" spans="1:12" x14ac:dyDescent="0.35">
      <c r="A172" t="s">
        <v>9</v>
      </c>
      <c r="B172">
        <v>2006</v>
      </c>
      <c r="C172">
        <v>1049</v>
      </c>
      <c r="D172">
        <v>1329</v>
      </c>
      <c r="E172">
        <v>519</v>
      </c>
      <c r="F172">
        <v>4534</v>
      </c>
      <c r="G172">
        <v>2411</v>
      </c>
      <c r="H172">
        <v>9164</v>
      </c>
      <c r="I172">
        <v>0</v>
      </c>
      <c r="J172">
        <f>SUM(C172:I172)</f>
        <v>19006</v>
      </c>
      <c r="L172"/>
    </row>
    <row r="173" spans="1:12" x14ac:dyDescent="0.35">
      <c r="A173" t="s">
        <v>34</v>
      </c>
      <c r="B173">
        <v>2006</v>
      </c>
      <c r="C173">
        <v>1314</v>
      </c>
      <c r="D173">
        <v>2551</v>
      </c>
      <c r="E173">
        <v>1798</v>
      </c>
      <c r="F173">
        <v>2096</v>
      </c>
      <c r="G173">
        <v>2714</v>
      </c>
      <c r="H173">
        <v>5204</v>
      </c>
      <c r="I173">
        <v>0</v>
      </c>
      <c r="J173">
        <f>SUM(C173:I173)</f>
        <v>15677</v>
      </c>
      <c r="L173"/>
    </row>
    <row r="174" spans="1:12" x14ac:dyDescent="0.35">
      <c r="A174" t="s">
        <v>22</v>
      </c>
      <c r="B174">
        <v>2006</v>
      </c>
      <c r="C174">
        <v>2900</v>
      </c>
      <c r="D174">
        <v>617</v>
      </c>
      <c r="E174">
        <v>764</v>
      </c>
      <c r="F174">
        <v>6243</v>
      </c>
      <c r="G174">
        <v>762</v>
      </c>
      <c r="H174">
        <v>2989</v>
      </c>
      <c r="I174">
        <v>0</v>
      </c>
      <c r="J174">
        <f>SUM(C174:I174)</f>
        <v>14275</v>
      </c>
      <c r="L174"/>
    </row>
    <row r="175" spans="1:12" x14ac:dyDescent="0.35">
      <c r="A175" t="s">
        <v>23</v>
      </c>
      <c r="B175">
        <v>2006</v>
      </c>
      <c r="C175">
        <v>1500</v>
      </c>
      <c r="D175">
        <v>921</v>
      </c>
      <c r="E175">
        <v>387</v>
      </c>
      <c r="F175">
        <v>3479</v>
      </c>
      <c r="G175">
        <v>984</v>
      </c>
      <c r="H175">
        <v>6738</v>
      </c>
      <c r="I175">
        <v>1</v>
      </c>
      <c r="J175">
        <f>SUM(C175:I175)</f>
        <v>14010</v>
      </c>
      <c r="L175"/>
    </row>
    <row r="176" spans="1:12" x14ac:dyDescent="0.35">
      <c r="A176" t="s">
        <v>36</v>
      </c>
      <c r="B176">
        <v>2006</v>
      </c>
      <c r="C176">
        <v>1731</v>
      </c>
      <c r="D176">
        <v>1199</v>
      </c>
      <c r="E176">
        <v>445</v>
      </c>
      <c r="F176">
        <v>1837</v>
      </c>
      <c r="G176">
        <v>63</v>
      </c>
      <c r="H176">
        <v>7414</v>
      </c>
      <c r="I176">
        <v>1</v>
      </c>
      <c r="J176">
        <f>SUM(C176:I176)</f>
        <v>12690</v>
      </c>
      <c r="L176"/>
    </row>
    <row r="177" spans="1:12" x14ac:dyDescent="0.35">
      <c r="A177" t="s">
        <v>30</v>
      </c>
      <c r="B177">
        <v>2006</v>
      </c>
      <c r="C177">
        <v>1085</v>
      </c>
      <c r="D177">
        <v>1553</v>
      </c>
      <c r="E177">
        <v>394</v>
      </c>
      <c r="F177">
        <v>2582</v>
      </c>
      <c r="G177">
        <v>31</v>
      </c>
      <c r="H177">
        <v>7038</v>
      </c>
      <c r="I177">
        <v>3</v>
      </c>
      <c r="J177">
        <f>SUM(C177:I177)</f>
        <v>12686</v>
      </c>
      <c r="L177"/>
    </row>
    <row r="178" spans="1:12" x14ac:dyDescent="0.35">
      <c r="A178" t="s">
        <v>21</v>
      </c>
      <c r="B178">
        <v>2006</v>
      </c>
      <c r="C178">
        <v>601</v>
      </c>
      <c r="D178">
        <v>202</v>
      </c>
      <c r="E178">
        <v>25</v>
      </c>
      <c r="F178">
        <v>2543</v>
      </c>
      <c r="G178">
        <v>222</v>
      </c>
      <c r="H178">
        <v>3708</v>
      </c>
      <c r="I178">
        <v>0</v>
      </c>
      <c r="J178">
        <f>SUM(C178:I178)</f>
        <v>7301</v>
      </c>
      <c r="L178"/>
    </row>
    <row r="179" spans="1:12" x14ac:dyDescent="0.35">
      <c r="A179" t="s">
        <v>15</v>
      </c>
      <c r="B179">
        <v>2006</v>
      </c>
      <c r="C179">
        <v>354</v>
      </c>
      <c r="D179">
        <v>945</v>
      </c>
      <c r="E179">
        <v>50</v>
      </c>
      <c r="F179">
        <v>736</v>
      </c>
      <c r="G179">
        <v>138</v>
      </c>
      <c r="H179">
        <v>4977</v>
      </c>
      <c r="I179">
        <v>0</v>
      </c>
      <c r="J179">
        <f>SUM(C179:I179)</f>
        <v>7200</v>
      </c>
      <c r="L179"/>
    </row>
    <row r="180" spans="1:12" x14ac:dyDescent="0.35">
      <c r="A180" t="s">
        <v>11</v>
      </c>
      <c r="B180">
        <v>2006</v>
      </c>
      <c r="C180">
        <v>1244</v>
      </c>
      <c r="D180">
        <v>1544</v>
      </c>
      <c r="E180">
        <v>105</v>
      </c>
      <c r="F180">
        <v>1290</v>
      </c>
      <c r="G180">
        <v>10</v>
      </c>
      <c r="H180">
        <v>2548</v>
      </c>
      <c r="I180">
        <v>0</v>
      </c>
      <c r="J180">
        <f>SUM(C180:I180)</f>
        <v>6741</v>
      </c>
      <c r="L180"/>
    </row>
    <row r="181" spans="1:12" x14ac:dyDescent="0.35">
      <c r="A181" t="s">
        <v>12</v>
      </c>
      <c r="B181">
        <v>2006</v>
      </c>
      <c r="C181">
        <v>1232</v>
      </c>
      <c r="D181">
        <v>1084</v>
      </c>
      <c r="E181">
        <v>1188</v>
      </c>
      <c r="F181">
        <v>530</v>
      </c>
      <c r="G181">
        <v>53</v>
      </c>
      <c r="H181">
        <v>1689</v>
      </c>
      <c r="I181">
        <v>42</v>
      </c>
      <c r="J181">
        <f>SUM(C181:I181)</f>
        <v>5818</v>
      </c>
      <c r="L181"/>
    </row>
    <row r="182" spans="1:12" x14ac:dyDescent="0.35">
      <c r="A182" t="s">
        <v>28</v>
      </c>
      <c r="B182">
        <v>2006</v>
      </c>
      <c r="C182">
        <v>985</v>
      </c>
      <c r="D182">
        <v>577</v>
      </c>
      <c r="E182">
        <v>457</v>
      </c>
      <c r="F182">
        <v>2415</v>
      </c>
      <c r="G182">
        <v>247</v>
      </c>
      <c r="H182">
        <v>694</v>
      </c>
      <c r="I182">
        <v>12</v>
      </c>
      <c r="J182">
        <f>SUM(C182:I182)</f>
        <v>5387</v>
      </c>
      <c r="L182"/>
    </row>
    <row r="183" spans="1:12" x14ac:dyDescent="0.35">
      <c r="A183" t="s">
        <v>20</v>
      </c>
      <c r="B183">
        <v>2006</v>
      </c>
      <c r="C183">
        <v>400</v>
      </c>
      <c r="D183">
        <v>328</v>
      </c>
      <c r="E183">
        <v>244</v>
      </c>
      <c r="F183">
        <v>1683</v>
      </c>
      <c r="G183">
        <v>38</v>
      </c>
      <c r="H183">
        <v>2129</v>
      </c>
      <c r="I183">
        <v>0</v>
      </c>
      <c r="J183">
        <f>SUM(C183:I183)</f>
        <v>4822</v>
      </c>
      <c r="L183"/>
    </row>
    <row r="184" spans="1:12" x14ac:dyDescent="0.35">
      <c r="A184" t="s">
        <v>32</v>
      </c>
      <c r="B184">
        <v>2006</v>
      </c>
      <c r="C184">
        <v>457</v>
      </c>
      <c r="D184">
        <v>718</v>
      </c>
      <c r="E184">
        <v>187</v>
      </c>
      <c r="F184">
        <v>1179</v>
      </c>
      <c r="G184">
        <v>852</v>
      </c>
      <c r="H184">
        <v>1248</v>
      </c>
      <c r="I184">
        <v>0</v>
      </c>
      <c r="J184">
        <f>SUM(C184:I184)</f>
        <v>4641</v>
      </c>
      <c r="L184"/>
    </row>
    <row r="185" spans="1:12" x14ac:dyDescent="0.35">
      <c r="A185" t="s">
        <v>16</v>
      </c>
      <c r="B185">
        <v>2006</v>
      </c>
      <c r="C185">
        <v>608</v>
      </c>
      <c r="D185">
        <v>431</v>
      </c>
      <c r="E185">
        <v>255</v>
      </c>
      <c r="F185">
        <v>486</v>
      </c>
      <c r="G185">
        <v>491</v>
      </c>
      <c r="H185">
        <v>2254</v>
      </c>
      <c r="I185">
        <v>0</v>
      </c>
      <c r="J185">
        <f>SUM(C185:I185)</f>
        <v>4525</v>
      </c>
      <c r="L185"/>
    </row>
    <row r="186" spans="1:12" x14ac:dyDescent="0.35">
      <c r="A186" t="s">
        <v>13</v>
      </c>
      <c r="B186">
        <v>2006</v>
      </c>
      <c r="C186">
        <v>995</v>
      </c>
      <c r="D186">
        <v>178</v>
      </c>
      <c r="E186">
        <v>103</v>
      </c>
      <c r="F186">
        <v>1598</v>
      </c>
      <c r="G186">
        <v>143</v>
      </c>
      <c r="H186">
        <v>717</v>
      </c>
      <c r="I186">
        <v>1</v>
      </c>
      <c r="J186">
        <f>SUM(C186:I186)</f>
        <v>3735</v>
      </c>
      <c r="L186"/>
    </row>
    <row r="187" spans="1:12" x14ac:dyDescent="0.35">
      <c r="A187" t="s">
        <v>19</v>
      </c>
      <c r="B187">
        <v>2006</v>
      </c>
      <c r="C187">
        <v>799</v>
      </c>
      <c r="D187">
        <v>410</v>
      </c>
      <c r="E187">
        <v>281</v>
      </c>
      <c r="F187">
        <v>414</v>
      </c>
      <c r="G187">
        <v>44</v>
      </c>
      <c r="H187">
        <v>668</v>
      </c>
      <c r="I187">
        <v>5</v>
      </c>
      <c r="J187">
        <f>SUM(C187:I187)</f>
        <v>2621</v>
      </c>
      <c r="L187"/>
    </row>
    <row r="188" spans="1:12" x14ac:dyDescent="0.35">
      <c r="A188" t="s">
        <v>18</v>
      </c>
      <c r="B188">
        <v>2006</v>
      </c>
      <c r="C188">
        <v>250</v>
      </c>
      <c r="D188">
        <v>723</v>
      </c>
      <c r="E188">
        <v>10</v>
      </c>
      <c r="F188">
        <v>960</v>
      </c>
      <c r="G188">
        <v>347</v>
      </c>
      <c r="H188">
        <v>135</v>
      </c>
      <c r="I188">
        <v>0</v>
      </c>
      <c r="J188">
        <f>SUM(C188:I188)</f>
        <v>2425</v>
      </c>
      <c r="L188"/>
    </row>
    <row r="189" spans="1:12" x14ac:dyDescent="0.35">
      <c r="A189" t="s">
        <v>29</v>
      </c>
      <c r="B189">
        <v>2006</v>
      </c>
      <c r="C189">
        <v>442</v>
      </c>
      <c r="D189">
        <v>418</v>
      </c>
      <c r="E189">
        <v>130</v>
      </c>
      <c r="F189">
        <v>314</v>
      </c>
      <c r="G189">
        <v>60</v>
      </c>
      <c r="H189">
        <v>801</v>
      </c>
      <c r="I189">
        <v>2</v>
      </c>
      <c r="J189">
        <f>SUM(C189:I189)</f>
        <v>2167</v>
      </c>
      <c r="L189"/>
    </row>
    <row r="190" spans="1:12" x14ac:dyDescent="0.35">
      <c r="A190" t="s">
        <v>35</v>
      </c>
      <c r="B190">
        <v>2006</v>
      </c>
      <c r="C190">
        <v>147</v>
      </c>
      <c r="D190">
        <v>183</v>
      </c>
      <c r="E190">
        <v>80</v>
      </c>
      <c r="F190">
        <v>153</v>
      </c>
      <c r="G190">
        <v>113</v>
      </c>
      <c r="H190">
        <v>358</v>
      </c>
      <c r="I190">
        <v>0</v>
      </c>
      <c r="J190">
        <f>SUM(C190:I190)</f>
        <v>1034</v>
      </c>
      <c r="L190"/>
    </row>
    <row r="191" spans="1:12" x14ac:dyDescent="0.35">
      <c r="A191" t="s">
        <v>33</v>
      </c>
      <c r="B191">
        <v>2006</v>
      </c>
      <c r="C191">
        <v>189</v>
      </c>
      <c r="D191">
        <v>62</v>
      </c>
      <c r="E191">
        <v>35</v>
      </c>
      <c r="F191">
        <v>207</v>
      </c>
      <c r="G191">
        <v>0</v>
      </c>
      <c r="H191">
        <v>471</v>
      </c>
      <c r="I191">
        <v>0</v>
      </c>
      <c r="J191">
        <f>SUM(C191:I191)</f>
        <v>964</v>
      </c>
      <c r="L191"/>
    </row>
    <row r="192" spans="1:12" x14ac:dyDescent="0.35">
      <c r="A192" t="s">
        <v>17</v>
      </c>
      <c r="B192">
        <v>2006</v>
      </c>
      <c r="C192">
        <v>113</v>
      </c>
      <c r="D192">
        <v>109</v>
      </c>
      <c r="E192">
        <v>3</v>
      </c>
      <c r="F192">
        <v>275</v>
      </c>
      <c r="G192">
        <v>31</v>
      </c>
      <c r="H192">
        <v>259</v>
      </c>
      <c r="I192">
        <v>0</v>
      </c>
      <c r="J192">
        <f>SUM(C192:I192)</f>
        <v>790</v>
      </c>
      <c r="L192"/>
    </row>
    <row r="193" spans="1:12" x14ac:dyDescent="0.35">
      <c r="A193" t="s">
        <v>38</v>
      </c>
      <c r="B193">
        <v>2006</v>
      </c>
      <c r="C193">
        <v>19</v>
      </c>
      <c r="D193">
        <v>57</v>
      </c>
      <c r="E193">
        <v>10</v>
      </c>
      <c r="F193">
        <v>20</v>
      </c>
      <c r="G193">
        <v>13</v>
      </c>
      <c r="H193">
        <v>102</v>
      </c>
      <c r="I193">
        <v>0</v>
      </c>
      <c r="J193">
        <f>SUM(C193:I193)</f>
        <v>221</v>
      </c>
      <c r="L193"/>
    </row>
    <row r="194" spans="1:12" x14ac:dyDescent="0.35">
      <c r="A194" t="s">
        <v>25</v>
      </c>
      <c r="B194">
        <v>2006</v>
      </c>
      <c r="C194">
        <v>74</v>
      </c>
      <c r="D194">
        <v>25</v>
      </c>
      <c r="E194">
        <v>6</v>
      </c>
      <c r="F194">
        <v>57</v>
      </c>
      <c r="G194">
        <v>0</v>
      </c>
      <c r="H194">
        <v>13</v>
      </c>
      <c r="I194">
        <v>0</v>
      </c>
      <c r="J194">
        <f>SUM(C194:I194)</f>
        <v>175</v>
      </c>
      <c r="L194"/>
    </row>
    <row r="195" spans="1:12" x14ac:dyDescent="0.35">
      <c r="A195" t="s">
        <v>24</v>
      </c>
      <c r="B195">
        <v>2006</v>
      </c>
      <c r="C195">
        <v>40</v>
      </c>
      <c r="D195">
        <v>79</v>
      </c>
      <c r="E195">
        <v>0</v>
      </c>
      <c r="F195">
        <v>42</v>
      </c>
      <c r="G195">
        <v>0</v>
      </c>
      <c r="H195">
        <v>10</v>
      </c>
      <c r="I195">
        <v>0</v>
      </c>
      <c r="J195">
        <f>SUM(C195:I195)</f>
        <v>171</v>
      </c>
      <c r="L195"/>
    </row>
    <row r="196" spans="1:12" x14ac:dyDescent="0.35">
      <c r="A196" t="s">
        <v>10</v>
      </c>
      <c r="B196">
        <v>2006</v>
      </c>
      <c r="C196">
        <v>37</v>
      </c>
      <c r="D196">
        <v>51</v>
      </c>
      <c r="E196">
        <v>1</v>
      </c>
      <c r="F196">
        <v>63</v>
      </c>
      <c r="G196">
        <v>2</v>
      </c>
      <c r="H196">
        <v>14</v>
      </c>
      <c r="I196">
        <v>0</v>
      </c>
      <c r="J196">
        <f>SUM(C196:I196)</f>
        <v>168</v>
      </c>
      <c r="L196"/>
    </row>
    <row r="197" spans="1:12" x14ac:dyDescent="0.35">
      <c r="A197" t="s">
        <v>42</v>
      </c>
      <c r="B197">
        <v>2006</v>
      </c>
      <c r="C197">
        <v>9</v>
      </c>
      <c r="D197">
        <v>13</v>
      </c>
      <c r="E197">
        <v>3</v>
      </c>
      <c r="F197">
        <v>56</v>
      </c>
      <c r="G197">
        <v>39</v>
      </c>
      <c r="H197">
        <v>19</v>
      </c>
      <c r="I197">
        <v>0</v>
      </c>
      <c r="J197">
        <f>SUM(C197:I197)</f>
        <v>139</v>
      </c>
      <c r="L197"/>
    </row>
    <row r="198" spans="1:12" x14ac:dyDescent="0.35">
      <c r="A198" t="s">
        <v>26</v>
      </c>
      <c r="B198">
        <v>2006</v>
      </c>
      <c r="C198">
        <v>72</v>
      </c>
      <c r="D198">
        <v>1</v>
      </c>
      <c r="E198">
        <v>0</v>
      </c>
      <c r="F198">
        <v>51</v>
      </c>
      <c r="G198">
        <v>0</v>
      </c>
      <c r="H198">
        <v>1</v>
      </c>
      <c r="I198">
        <v>0</v>
      </c>
      <c r="J198">
        <f>SUM(C198:I198)</f>
        <v>125</v>
      </c>
      <c r="L198"/>
    </row>
    <row r="199" spans="1:12" x14ac:dyDescent="0.35">
      <c r="A199" t="s">
        <v>14</v>
      </c>
      <c r="B199">
        <v>2006</v>
      </c>
      <c r="C199">
        <v>21</v>
      </c>
      <c r="D199">
        <v>10</v>
      </c>
      <c r="E199">
        <v>0</v>
      </c>
      <c r="F199">
        <v>18</v>
      </c>
      <c r="G199">
        <v>7</v>
      </c>
      <c r="H199">
        <v>14</v>
      </c>
      <c r="I199">
        <v>0</v>
      </c>
      <c r="J199">
        <f>SUM(C199:I199)</f>
        <v>70</v>
      </c>
      <c r="L199"/>
    </row>
    <row r="200" spans="1:12" x14ac:dyDescent="0.35">
      <c r="A200" t="s">
        <v>31</v>
      </c>
      <c r="B200">
        <v>2006</v>
      </c>
      <c r="C200">
        <v>20</v>
      </c>
      <c r="D200">
        <v>7</v>
      </c>
      <c r="E200">
        <v>0</v>
      </c>
      <c r="F200">
        <v>14</v>
      </c>
      <c r="G200">
        <v>0</v>
      </c>
      <c r="H200">
        <v>6</v>
      </c>
      <c r="I200">
        <v>0</v>
      </c>
      <c r="J200">
        <f>SUM(C200:I200)</f>
        <v>47</v>
      </c>
      <c r="L200"/>
    </row>
    <row r="201" spans="1:12" x14ac:dyDescent="0.35">
      <c r="A201" t="s">
        <v>37</v>
      </c>
      <c r="B201">
        <v>2006</v>
      </c>
      <c r="C201">
        <v>6</v>
      </c>
      <c r="D201">
        <v>5</v>
      </c>
      <c r="E201">
        <v>0</v>
      </c>
      <c r="F201">
        <v>14</v>
      </c>
      <c r="G201">
        <v>4</v>
      </c>
      <c r="H201">
        <v>7</v>
      </c>
      <c r="I201">
        <v>0</v>
      </c>
      <c r="J201">
        <f>SUM(C201:I201)</f>
        <v>36</v>
      </c>
      <c r="L201"/>
    </row>
    <row r="202" spans="1:12" x14ac:dyDescent="0.35">
      <c r="A202" t="s">
        <v>27</v>
      </c>
      <c r="B202">
        <v>2006</v>
      </c>
      <c r="C202">
        <v>23</v>
      </c>
      <c r="D202">
        <v>3</v>
      </c>
      <c r="E202">
        <v>0</v>
      </c>
      <c r="F202">
        <v>3</v>
      </c>
      <c r="G202">
        <v>2</v>
      </c>
      <c r="H202">
        <v>3</v>
      </c>
      <c r="I202">
        <v>0</v>
      </c>
      <c r="J202">
        <f>SUM(C202:I202)</f>
        <v>34</v>
      </c>
      <c r="L202"/>
    </row>
    <row r="203" spans="1:12" x14ac:dyDescent="0.35">
      <c r="A203" t="s">
        <v>39</v>
      </c>
      <c r="B203">
        <v>2006</v>
      </c>
      <c r="C203">
        <v>6</v>
      </c>
      <c r="D203">
        <v>14</v>
      </c>
      <c r="E203">
        <v>1</v>
      </c>
      <c r="F203">
        <v>5</v>
      </c>
      <c r="G203">
        <v>1</v>
      </c>
      <c r="H203">
        <v>5</v>
      </c>
      <c r="I203">
        <v>0</v>
      </c>
      <c r="J203">
        <f>SUM(C203:I203)</f>
        <v>32</v>
      </c>
      <c r="L203"/>
    </row>
    <row r="204" spans="1:12" x14ac:dyDescent="0.35">
      <c r="A204" t="s">
        <v>40</v>
      </c>
      <c r="B204">
        <v>2006</v>
      </c>
      <c r="C204">
        <v>3</v>
      </c>
      <c r="D204">
        <v>1</v>
      </c>
      <c r="E204">
        <v>0</v>
      </c>
      <c r="F204">
        <v>2</v>
      </c>
      <c r="G204">
        <v>0</v>
      </c>
      <c r="H204">
        <v>2</v>
      </c>
      <c r="I204">
        <v>0</v>
      </c>
      <c r="J204">
        <f>SUM(C204:I204)</f>
        <v>8</v>
      </c>
      <c r="L204"/>
    </row>
    <row r="205" spans="1:12" x14ac:dyDescent="0.35">
      <c r="A205" t="s">
        <v>41</v>
      </c>
      <c r="B205">
        <v>2006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</v>
      </c>
      <c r="I205">
        <v>0</v>
      </c>
      <c r="J205">
        <f>SUM(C205:I205)</f>
        <v>1</v>
      </c>
      <c r="L205"/>
    </row>
    <row r="206" spans="1:12" x14ac:dyDescent="0.35">
      <c r="A206" t="s">
        <v>9</v>
      </c>
      <c r="B206">
        <v>2007</v>
      </c>
      <c r="C206">
        <v>1070</v>
      </c>
      <c r="D206">
        <v>1564</v>
      </c>
      <c r="E206">
        <v>613</v>
      </c>
      <c r="F206">
        <v>4406</v>
      </c>
      <c r="G206">
        <v>3316</v>
      </c>
      <c r="H206">
        <v>11335</v>
      </c>
      <c r="I206">
        <v>0</v>
      </c>
      <c r="J206">
        <f>SUM(C206:I206)</f>
        <v>22304</v>
      </c>
      <c r="L206"/>
    </row>
    <row r="207" spans="1:12" x14ac:dyDescent="0.35">
      <c r="A207" t="s">
        <v>34</v>
      </c>
      <c r="B207">
        <v>2007</v>
      </c>
      <c r="C207">
        <v>1648</v>
      </c>
      <c r="D207">
        <v>3363</v>
      </c>
      <c r="E207">
        <v>2076</v>
      </c>
      <c r="F207">
        <v>2522</v>
      </c>
      <c r="G207">
        <v>2882</v>
      </c>
      <c r="H207">
        <v>7650</v>
      </c>
      <c r="I207">
        <v>0</v>
      </c>
      <c r="J207">
        <f>SUM(C207:I207)</f>
        <v>20141</v>
      </c>
      <c r="L207"/>
    </row>
    <row r="208" spans="1:12" x14ac:dyDescent="0.35">
      <c r="A208" t="s">
        <v>36</v>
      </c>
      <c r="B208">
        <v>2007</v>
      </c>
      <c r="C208">
        <v>2106</v>
      </c>
      <c r="D208">
        <v>1590</v>
      </c>
      <c r="E208">
        <v>451</v>
      </c>
      <c r="F208">
        <v>2281</v>
      </c>
      <c r="G208">
        <v>99</v>
      </c>
      <c r="H208">
        <v>9900</v>
      </c>
      <c r="I208">
        <v>5</v>
      </c>
      <c r="J208">
        <f>SUM(C208:I208)</f>
        <v>16432</v>
      </c>
      <c r="L208"/>
    </row>
    <row r="209" spans="1:12" x14ac:dyDescent="0.35">
      <c r="A209" t="s">
        <v>22</v>
      </c>
      <c r="B209">
        <v>2007</v>
      </c>
      <c r="C209">
        <v>3010</v>
      </c>
      <c r="D209">
        <v>701</v>
      </c>
      <c r="E209">
        <v>742</v>
      </c>
      <c r="F209">
        <v>6772</v>
      </c>
      <c r="G209">
        <v>780</v>
      </c>
      <c r="H209">
        <v>3294</v>
      </c>
      <c r="I209">
        <v>0</v>
      </c>
      <c r="J209">
        <f>SUM(C209:I209)</f>
        <v>15299</v>
      </c>
      <c r="L209"/>
    </row>
    <row r="210" spans="1:12" x14ac:dyDescent="0.35">
      <c r="A210" t="s">
        <v>23</v>
      </c>
      <c r="B210">
        <v>2007</v>
      </c>
      <c r="C210">
        <v>1451</v>
      </c>
      <c r="D210">
        <v>967</v>
      </c>
      <c r="E210">
        <v>436</v>
      </c>
      <c r="F210">
        <v>3306</v>
      </c>
      <c r="G210">
        <v>1039</v>
      </c>
      <c r="H210">
        <v>7356</v>
      </c>
      <c r="I210">
        <v>0</v>
      </c>
      <c r="J210">
        <f>SUM(C210:I210)</f>
        <v>14555</v>
      </c>
      <c r="L210"/>
    </row>
    <row r="211" spans="1:12" x14ac:dyDescent="0.35">
      <c r="A211" t="s">
        <v>30</v>
      </c>
      <c r="B211">
        <v>2007</v>
      </c>
      <c r="C211">
        <v>1238</v>
      </c>
      <c r="D211">
        <v>1694</v>
      </c>
      <c r="E211">
        <v>439</v>
      </c>
      <c r="F211">
        <v>2477</v>
      </c>
      <c r="G211">
        <v>28</v>
      </c>
      <c r="H211">
        <v>8170</v>
      </c>
      <c r="I211">
        <v>0</v>
      </c>
      <c r="J211">
        <f>SUM(C211:I211)</f>
        <v>14046</v>
      </c>
      <c r="L211"/>
    </row>
    <row r="212" spans="1:12" x14ac:dyDescent="0.35">
      <c r="A212" t="s">
        <v>15</v>
      </c>
      <c r="B212">
        <v>2007</v>
      </c>
      <c r="C212">
        <v>316</v>
      </c>
      <c r="D212">
        <v>1089</v>
      </c>
      <c r="E212">
        <v>42</v>
      </c>
      <c r="F212">
        <v>822</v>
      </c>
      <c r="G212">
        <v>120</v>
      </c>
      <c r="H212">
        <v>5827</v>
      </c>
      <c r="I212">
        <v>0</v>
      </c>
      <c r="J212">
        <f>SUM(C212:I212)</f>
        <v>8216</v>
      </c>
      <c r="L212"/>
    </row>
    <row r="213" spans="1:12" x14ac:dyDescent="0.35">
      <c r="A213" t="s">
        <v>21</v>
      </c>
      <c r="B213">
        <v>2007</v>
      </c>
      <c r="C213">
        <v>512</v>
      </c>
      <c r="D213">
        <v>177</v>
      </c>
      <c r="E213">
        <v>27</v>
      </c>
      <c r="F213">
        <v>2624</v>
      </c>
      <c r="G213">
        <v>262</v>
      </c>
      <c r="H213">
        <v>3999</v>
      </c>
      <c r="I213">
        <v>0</v>
      </c>
      <c r="J213">
        <f>SUM(C213:I213)</f>
        <v>7601</v>
      </c>
      <c r="L213"/>
    </row>
    <row r="214" spans="1:12" x14ac:dyDescent="0.35">
      <c r="A214" t="s">
        <v>11</v>
      </c>
      <c r="B214">
        <v>2007</v>
      </c>
      <c r="C214">
        <v>1437</v>
      </c>
      <c r="D214">
        <v>1471</v>
      </c>
      <c r="E214">
        <v>100</v>
      </c>
      <c r="F214">
        <v>789</v>
      </c>
      <c r="G214">
        <v>10</v>
      </c>
      <c r="H214">
        <v>3000</v>
      </c>
      <c r="I214">
        <v>0</v>
      </c>
      <c r="J214">
        <f>SUM(C214:I214)</f>
        <v>6807</v>
      </c>
      <c r="L214"/>
    </row>
    <row r="215" spans="1:12" x14ac:dyDescent="0.35">
      <c r="A215" t="s">
        <v>12</v>
      </c>
      <c r="B215">
        <v>2007</v>
      </c>
      <c r="C215">
        <v>1555</v>
      </c>
      <c r="D215">
        <v>1260</v>
      </c>
      <c r="E215">
        <v>1172</v>
      </c>
      <c r="F215">
        <v>853</v>
      </c>
      <c r="G215">
        <v>12</v>
      </c>
      <c r="H215">
        <v>1635</v>
      </c>
      <c r="I215">
        <v>56</v>
      </c>
      <c r="J215">
        <f>SUM(C215:I215)</f>
        <v>6543</v>
      </c>
      <c r="L215"/>
    </row>
    <row r="216" spans="1:12" x14ac:dyDescent="0.35">
      <c r="A216" t="s">
        <v>32</v>
      </c>
      <c r="B216">
        <v>2007</v>
      </c>
      <c r="C216">
        <v>523</v>
      </c>
      <c r="D216">
        <v>1097</v>
      </c>
      <c r="E216">
        <v>208</v>
      </c>
      <c r="F216">
        <v>1540</v>
      </c>
      <c r="G216">
        <v>875</v>
      </c>
      <c r="H216">
        <v>1976</v>
      </c>
      <c r="I216">
        <v>0</v>
      </c>
      <c r="J216">
        <f>SUM(C216:I216)</f>
        <v>6219</v>
      </c>
      <c r="L216"/>
    </row>
    <row r="217" spans="1:12" x14ac:dyDescent="0.35">
      <c r="A217" t="s">
        <v>28</v>
      </c>
      <c r="B217">
        <v>2007</v>
      </c>
      <c r="C217">
        <v>939</v>
      </c>
      <c r="D217">
        <v>660</v>
      </c>
      <c r="E217">
        <v>461</v>
      </c>
      <c r="F217">
        <v>2775</v>
      </c>
      <c r="G217">
        <v>241</v>
      </c>
      <c r="H217">
        <v>728</v>
      </c>
      <c r="I217">
        <v>0</v>
      </c>
      <c r="J217">
        <f>SUM(C217:I217)</f>
        <v>5804</v>
      </c>
      <c r="L217"/>
    </row>
    <row r="218" spans="1:12" x14ac:dyDescent="0.35">
      <c r="A218" t="s">
        <v>20</v>
      </c>
      <c r="B218">
        <v>2007</v>
      </c>
      <c r="C218">
        <v>436</v>
      </c>
      <c r="D218">
        <v>390</v>
      </c>
      <c r="E218">
        <v>251</v>
      </c>
      <c r="F218">
        <v>1828</v>
      </c>
      <c r="G218">
        <v>28</v>
      </c>
      <c r="H218">
        <v>2507</v>
      </c>
      <c r="I218">
        <v>0</v>
      </c>
      <c r="J218">
        <f>SUM(C218:I218)</f>
        <v>5440</v>
      </c>
      <c r="L218"/>
    </row>
    <row r="219" spans="1:12" x14ac:dyDescent="0.35">
      <c r="A219" t="s">
        <v>16</v>
      </c>
      <c r="B219">
        <v>2007</v>
      </c>
      <c r="C219">
        <v>488</v>
      </c>
      <c r="D219">
        <v>554</v>
      </c>
      <c r="E219">
        <v>269</v>
      </c>
      <c r="F219">
        <v>417</v>
      </c>
      <c r="G219">
        <v>409</v>
      </c>
      <c r="H219">
        <v>2412</v>
      </c>
      <c r="I219">
        <v>0</v>
      </c>
      <c r="J219">
        <f>SUM(C219:I219)</f>
        <v>4549</v>
      </c>
      <c r="L219"/>
    </row>
    <row r="220" spans="1:12" x14ac:dyDescent="0.35">
      <c r="A220" t="s">
        <v>13</v>
      </c>
      <c r="B220">
        <v>2007</v>
      </c>
      <c r="C220">
        <v>982</v>
      </c>
      <c r="D220">
        <v>181</v>
      </c>
      <c r="E220">
        <v>100</v>
      </c>
      <c r="F220">
        <v>1549</v>
      </c>
      <c r="G220">
        <v>111</v>
      </c>
      <c r="H220">
        <v>824</v>
      </c>
      <c r="I220">
        <v>0</v>
      </c>
      <c r="J220">
        <f>SUM(C220:I220)</f>
        <v>3747</v>
      </c>
      <c r="L220"/>
    </row>
    <row r="221" spans="1:12" x14ac:dyDescent="0.35">
      <c r="A221" t="s">
        <v>19</v>
      </c>
      <c r="B221">
        <v>2007</v>
      </c>
      <c r="C221">
        <v>855</v>
      </c>
      <c r="D221">
        <v>534</v>
      </c>
      <c r="E221">
        <v>303</v>
      </c>
      <c r="F221">
        <v>342</v>
      </c>
      <c r="G221">
        <v>15</v>
      </c>
      <c r="H221">
        <v>801</v>
      </c>
      <c r="I221">
        <v>0</v>
      </c>
      <c r="J221">
        <f>SUM(C221:I221)</f>
        <v>2850</v>
      </c>
      <c r="L221"/>
    </row>
    <row r="222" spans="1:12" x14ac:dyDescent="0.35">
      <c r="A222" t="s">
        <v>29</v>
      </c>
      <c r="B222">
        <v>2007</v>
      </c>
      <c r="C222">
        <v>519</v>
      </c>
      <c r="D222">
        <v>545</v>
      </c>
      <c r="E222">
        <v>133</v>
      </c>
      <c r="F222">
        <v>427</v>
      </c>
      <c r="G222">
        <v>48</v>
      </c>
      <c r="H222">
        <v>971</v>
      </c>
      <c r="I222">
        <v>0</v>
      </c>
      <c r="J222">
        <f>SUM(C222:I222)</f>
        <v>2643</v>
      </c>
      <c r="L222"/>
    </row>
    <row r="223" spans="1:12" x14ac:dyDescent="0.35">
      <c r="A223" t="s">
        <v>18</v>
      </c>
      <c r="B223">
        <v>2007</v>
      </c>
      <c r="C223">
        <v>288</v>
      </c>
      <c r="D223">
        <v>707</v>
      </c>
      <c r="E223">
        <v>9</v>
      </c>
      <c r="F223">
        <v>986</v>
      </c>
      <c r="G223">
        <v>353</v>
      </c>
      <c r="H223">
        <v>176</v>
      </c>
      <c r="I223">
        <v>0</v>
      </c>
      <c r="J223">
        <f>SUM(C223:I223)</f>
        <v>2519</v>
      </c>
      <c r="L223"/>
    </row>
    <row r="224" spans="1:12" x14ac:dyDescent="0.35">
      <c r="A224" t="s">
        <v>35</v>
      </c>
      <c r="B224">
        <v>2007</v>
      </c>
      <c r="C224">
        <v>117</v>
      </c>
      <c r="D224">
        <v>227</v>
      </c>
      <c r="E224">
        <v>70</v>
      </c>
      <c r="F224">
        <v>146</v>
      </c>
      <c r="G224">
        <v>63</v>
      </c>
      <c r="H224">
        <v>463</v>
      </c>
      <c r="I224">
        <v>0</v>
      </c>
      <c r="J224">
        <f>SUM(C224:I224)</f>
        <v>1086</v>
      </c>
      <c r="L224"/>
    </row>
    <row r="225" spans="1:12" x14ac:dyDescent="0.35">
      <c r="A225" t="s">
        <v>33</v>
      </c>
      <c r="B225">
        <v>2007</v>
      </c>
      <c r="C225">
        <v>157</v>
      </c>
      <c r="D225">
        <v>81</v>
      </c>
      <c r="E225">
        <v>36</v>
      </c>
      <c r="F225">
        <v>244</v>
      </c>
      <c r="G225">
        <v>4</v>
      </c>
      <c r="H225">
        <v>545</v>
      </c>
      <c r="I225">
        <v>0</v>
      </c>
      <c r="J225">
        <f>SUM(C225:I225)</f>
        <v>1067</v>
      </c>
      <c r="L225"/>
    </row>
    <row r="226" spans="1:12" x14ac:dyDescent="0.35">
      <c r="A226" t="s">
        <v>17</v>
      </c>
      <c r="B226">
        <v>2007</v>
      </c>
      <c r="C226">
        <v>159</v>
      </c>
      <c r="D226">
        <v>150</v>
      </c>
      <c r="E226">
        <v>8</v>
      </c>
      <c r="F226">
        <v>322</v>
      </c>
      <c r="G226">
        <v>33</v>
      </c>
      <c r="H226">
        <v>342</v>
      </c>
      <c r="I226">
        <v>0</v>
      </c>
      <c r="J226">
        <f>SUM(C226:I226)</f>
        <v>1014</v>
      </c>
      <c r="L226"/>
    </row>
    <row r="227" spans="1:12" x14ac:dyDescent="0.35">
      <c r="A227" t="s">
        <v>38</v>
      </c>
      <c r="B227">
        <v>2007</v>
      </c>
      <c r="C227">
        <v>22</v>
      </c>
      <c r="D227">
        <v>46</v>
      </c>
      <c r="E227">
        <v>1</v>
      </c>
      <c r="F227">
        <v>32</v>
      </c>
      <c r="G227">
        <v>11</v>
      </c>
      <c r="H227">
        <v>112</v>
      </c>
      <c r="I227">
        <v>0</v>
      </c>
      <c r="J227">
        <f>SUM(C227:I227)</f>
        <v>224</v>
      </c>
      <c r="L227"/>
    </row>
    <row r="228" spans="1:12" x14ac:dyDescent="0.35">
      <c r="A228" t="s">
        <v>24</v>
      </c>
      <c r="B228">
        <v>2007</v>
      </c>
      <c r="C228">
        <v>20</v>
      </c>
      <c r="D228">
        <v>83</v>
      </c>
      <c r="E228">
        <v>0</v>
      </c>
      <c r="F228">
        <v>70</v>
      </c>
      <c r="G228">
        <v>0</v>
      </c>
      <c r="H228">
        <v>15</v>
      </c>
      <c r="I228">
        <v>0</v>
      </c>
      <c r="J228">
        <f>SUM(C228:I228)</f>
        <v>188</v>
      </c>
      <c r="L228"/>
    </row>
    <row r="229" spans="1:12" x14ac:dyDescent="0.35">
      <c r="A229" t="s">
        <v>10</v>
      </c>
      <c r="B229">
        <v>2007</v>
      </c>
      <c r="C229">
        <v>48</v>
      </c>
      <c r="D229">
        <v>44</v>
      </c>
      <c r="E229">
        <v>0</v>
      </c>
      <c r="F229">
        <v>72</v>
      </c>
      <c r="G229">
        <v>1</v>
      </c>
      <c r="H229">
        <v>20</v>
      </c>
      <c r="I229">
        <v>0</v>
      </c>
      <c r="J229">
        <f>SUM(C229:I229)</f>
        <v>185</v>
      </c>
      <c r="L229"/>
    </row>
    <row r="230" spans="1:12" x14ac:dyDescent="0.35">
      <c r="A230" t="s">
        <v>25</v>
      </c>
      <c r="B230">
        <v>2007</v>
      </c>
      <c r="C230">
        <v>82</v>
      </c>
      <c r="D230">
        <v>22</v>
      </c>
      <c r="E230">
        <v>2</v>
      </c>
      <c r="F230">
        <v>45</v>
      </c>
      <c r="G230">
        <v>1</v>
      </c>
      <c r="H230">
        <v>19</v>
      </c>
      <c r="I230">
        <v>0</v>
      </c>
      <c r="J230">
        <f>SUM(C230:I230)</f>
        <v>171</v>
      </c>
      <c r="L230"/>
    </row>
    <row r="231" spans="1:12" x14ac:dyDescent="0.35">
      <c r="A231" t="s">
        <v>42</v>
      </c>
      <c r="B231">
        <v>2007</v>
      </c>
      <c r="C231">
        <v>9</v>
      </c>
      <c r="D231">
        <v>14</v>
      </c>
      <c r="E231">
        <v>2</v>
      </c>
      <c r="F231">
        <v>89</v>
      </c>
      <c r="G231">
        <v>32</v>
      </c>
      <c r="H231">
        <v>17</v>
      </c>
      <c r="I231">
        <v>0</v>
      </c>
      <c r="J231">
        <f>SUM(C231:I231)</f>
        <v>163</v>
      </c>
      <c r="L231"/>
    </row>
    <row r="232" spans="1:12" x14ac:dyDescent="0.35">
      <c r="A232" t="s">
        <v>26</v>
      </c>
      <c r="B232">
        <v>2007</v>
      </c>
      <c r="C232">
        <v>83</v>
      </c>
      <c r="D232">
        <v>0</v>
      </c>
      <c r="E232">
        <v>0</v>
      </c>
      <c r="F232">
        <v>66</v>
      </c>
      <c r="G232">
        <v>0</v>
      </c>
      <c r="H232">
        <v>2</v>
      </c>
      <c r="I232">
        <v>0</v>
      </c>
      <c r="J232">
        <f>SUM(C232:I232)</f>
        <v>151</v>
      </c>
      <c r="L232"/>
    </row>
    <row r="233" spans="1:12" x14ac:dyDescent="0.35">
      <c r="A233" t="s">
        <v>14</v>
      </c>
      <c r="B233">
        <v>2007</v>
      </c>
      <c r="C233">
        <v>20</v>
      </c>
      <c r="D233">
        <v>7</v>
      </c>
      <c r="E233">
        <v>2</v>
      </c>
      <c r="F233">
        <v>20</v>
      </c>
      <c r="G233">
        <v>7</v>
      </c>
      <c r="H233">
        <v>14</v>
      </c>
      <c r="I233">
        <v>0</v>
      </c>
      <c r="J233">
        <f>SUM(C233:I233)</f>
        <v>70</v>
      </c>
      <c r="L233"/>
    </row>
    <row r="234" spans="1:12" x14ac:dyDescent="0.35">
      <c r="A234" t="s">
        <v>37</v>
      </c>
      <c r="B234">
        <v>2007</v>
      </c>
      <c r="C234">
        <v>3</v>
      </c>
      <c r="D234">
        <v>9</v>
      </c>
      <c r="E234">
        <v>1</v>
      </c>
      <c r="F234">
        <v>21</v>
      </c>
      <c r="G234">
        <v>2</v>
      </c>
      <c r="H234">
        <v>18</v>
      </c>
      <c r="I234">
        <v>0</v>
      </c>
      <c r="J234">
        <f>SUM(C234:I234)</f>
        <v>54</v>
      </c>
      <c r="L234"/>
    </row>
    <row r="235" spans="1:12" x14ac:dyDescent="0.35">
      <c r="A235" t="s">
        <v>31</v>
      </c>
      <c r="B235">
        <v>2007</v>
      </c>
      <c r="C235">
        <v>24</v>
      </c>
      <c r="D235">
        <v>9</v>
      </c>
      <c r="E235">
        <v>0</v>
      </c>
      <c r="F235">
        <v>13</v>
      </c>
      <c r="G235">
        <v>0</v>
      </c>
      <c r="H235">
        <v>7</v>
      </c>
      <c r="I235">
        <v>0</v>
      </c>
      <c r="J235">
        <f>SUM(C235:I235)</f>
        <v>53</v>
      </c>
      <c r="L235"/>
    </row>
    <row r="236" spans="1:12" x14ac:dyDescent="0.35">
      <c r="A236" t="s">
        <v>27</v>
      </c>
      <c r="B236">
        <v>2007</v>
      </c>
      <c r="C236">
        <v>13</v>
      </c>
      <c r="D236">
        <v>6</v>
      </c>
      <c r="E236">
        <v>0</v>
      </c>
      <c r="F236">
        <v>8</v>
      </c>
      <c r="G236">
        <v>1</v>
      </c>
      <c r="H236">
        <v>0</v>
      </c>
      <c r="I236">
        <v>0</v>
      </c>
      <c r="J236">
        <f>SUM(C236:I236)</f>
        <v>28</v>
      </c>
      <c r="L236"/>
    </row>
    <row r="237" spans="1:12" x14ac:dyDescent="0.35">
      <c r="A237" t="s">
        <v>39</v>
      </c>
      <c r="B237">
        <v>2007</v>
      </c>
      <c r="C237">
        <v>7</v>
      </c>
      <c r="D237">
        <v>6</v>
      </c>
      <c r="E237">
        <v>0</v>
      </c>
      <c r="F237">
        <v>0</v>
      </c>
      <c r="G237">
        <v>0</v>
      </c>
      <c r="H237">
        <v>3</v>
      </c>
      <c r="I237">
        <v>0</v>
      </c>
      <c r="J237">
        <f>SUM(C237:I237)</f>
        <v>16</v>
      </c>
      <c r="L237"/>
    </row>
    <row r="238" spans="1:12" x14ac:dyDescent="0.35">
      <c r="A238" t="s">
        <v>40</v>
      </c>
      <c r="B238">
        <v>2007</v>
      </c>
      <c r="C238">
        <v>1</v>
      </c>
      <c r="D238">
        <v>1</v>
      </c>
      <c r="E238">
        <v>1</v>
      </c>
      <c r="F238">
        <v>0</v>
      </c>
      <c r="G238">
        <v>0</v>
      </c>
      <c r="H238">
        <v>3</v>
      </c>
      <c r="I238">
        <v>0</v>
      </c>
      <c r="J238">
        <f>SUM(C238:I238)</f>
        <v>6</v>
      </c>
      <c r="L238"/>
    </row>
    <row r="239" spans="1:12" x14ac:dyDescent="0.35">
      <c r="A239" t="s">
        <v>41</v>
      </c>
      <c r="B239">
        <v>2007</v>
      </c>
      <c r="C239">
        <v>1</v>
      </c>
      <c r="D239">
        <v>0</v>
      </c>
      <c r="E239">
        <v>0</v>
      </c>
      <c r="F239">
        <v>2</v>
      </c>
      <c r="G239">
        <v>0</v>
      </c>
      <c r="H239">
        <v>2</v>
      </c>
      <c r="I239">
        <v>0</v>
      </c>
      <c r="J239">
        <f>SUM(C239:I239)</f>
        <v>5</v>
      </c>
      <c r="L239"/>
    </row>
    <row r="240" spans="1:12" x14ac:dyDescent="0.35">
      <c r="A240" t="s">
        <v>34</v>
      </c>
      <c r="B240">
        <v>2008</v>
      </c>
      <c r="C240">
        <v>1871</v>
      </c>
      <c r="D240">
        <v>4439</v>
      </c>
      <c r="E240">
        <v>2237</v>
      </c>
      <c r="F240">
        <v>2955</v>
      </c>
      <c r="G240">
        <v>3374</v>
      </c>
      <c r="H240">
        <v>8312</v>
      </c>
      <c r="I240">
        <v>0</v>
      </c>
      <c r="J240">
        <f>SUM(C240:I240)</f>
        <v>23188</v>
      </c>
      <c r="L240"/>
    </row>
    <row r="241" spans="1:12" x14ac:dyDescent="0.35">
      <c r="A241" t="s">
        <v>9</v>
      </c>
      <c r="B241">
        <v>2008</v>
      </c>
      <c r="C241">
        <v>1257</v>
      </c>
      <c r="D241">
        <v>1396</v>
      </c>
      <c r="E241">
        <v>556</v>
      </c>
      <c r="F241">
        <v>4730</v>
      </c>
      <c r="G241">
        <v>3551</v>
      </c>
      <c r="H241">
        <v>10306</v>
      </c>
      <c r="I241">
        <v>0</v>
      </c>
      <c r="J241">
        <f>SUM(C241:I241)</f>
        <v>21796</v>
      </c>
      <c r="L241"/>
    </row>
    <row r="242" spans="1:12" x14ac:dyDescent="0.35">
      <c r="A242" t="s">
        <v>36</v>
      </c>
      <c r="B242">
        <v>2008</v>
      </c>
      <c r="C242">
        <v>2263</v>
      </c>
      <c r="D242">
        <v>1907</v>
      </c>
      <c r="E242">
        <v>451</v>
      </c>
      <c r="F242">
        <v>2396</v>
      </c>
      <c r="G242">
        <v>94</v>
      </c>
      <c r="H242">
        <v>13663</v>
      </c>
      <c r="I242">
        <v>5</v>
      </c>
      <c r="J242">
        <f>SUM(C242:I242)</f>
        <v>20779</v>
      </c>
      <c r="L242"/>
    </row>
    <row r="243" spans="1:12" x14ac:dyDescent="0.35">
      <c r="A243" t="s">
        <v>23</v>
      </c>
      <c r="B243">
        <v>2008</v>
      </c>
      <c r="C243">
        <v>1558</v>
      </c>
      <c r="D243">
        <v>998</v>
      </c>
      <c r="E243">
        <v>390</v>
      </c>
      <c r="F243">
        <v>3619</v>
      </c>
      <c r="G243">
        <v>1091</v>
      </c>
      <c r="H243">
        <v>7829</v>
      </c>
      <c r="I243">
        <v>0</v>
      </c>
      <c r="J243">
        <f>SUM(C243:I243)</f>
        <v>15485</v>
      </c>
      <c r="L243"/>
    </row>
    <row r="244" spans="1:12" x14ac:dyDescent="0.35">
      <c r="A244" t="s">
        <v>22</v>
      </c>
      <c r="B244">
        <v>2008</v>
      </c>
      <c r="C244">
        <v>2937</v>
      </c>
      <c r="D244">
        <v>736</v>
      </c>
      <c r="E244">
        <v>805</v>
      </c>
      <c r="F244">
        <v>6445</v>
      </c>
      <c r="G244">
        <v>758</v>
      </c>
      <c r="H244">
        <v>3185</v>
      </c>
      <c r="I244">
        <v>0</v>
      </c>
      <c r="J244">
        <f>SUM(C244:I244)</f>
        <v>14866</v>
      </c>
      <c r="L244"/>
    </row>
    <row r="245" spans="1:12" x14ac:dyDescent="0.35">
      <c r="A245" t="s">
        <v>30</v>
      </c>
      <c r="B245">
        <v>2008</v>
      </c>
      <c r="C245">
        <v>1355</v>
      </c>
      <c r="D245">
        <v>1863</v>
      </c>
      <c r="E245">
        <v>439</v>
      </c>
      <c r="F245">
        <v>2520</v>
      </c>
      <c r="G245">
        <v>19</v>
      </c>
      <c r="H245">
        <v>8113</v>
      </c>
      <c r="I245">
        <v>0</v>
      </c>
      <c r="J245">
        <f>SUM(C245:I245)</f>
        <v>14309</v>
      </c>
      <c r="L245"/>
    </row>
    <row r="246" spans="1:12" x14ac:dyDescent="0.35">
      <c r="A246" t="s">
        <v>15</v>
      </c>
      <c r="B246">
        <v>2008</v>
      </c>
      <c r="C246">
        <v>374</v>
      </c>
      <c r="D246">
        <v>1119</v>
      </c>
      <c r="E246">
        <v>27</v>
      </c>
      <c r="F246">
        <v>828</v>
      </c>
      <c r="G246">
        <v>122</v>
      </c>
      <c r="H246">
        <v>6094</v>
      </c>
      <c r="I246">
        <v>0</v>
      </c>
      <c r="J246">
        <f>SUM(C246:I246)</f>
        <v>8564</v>
      </c>
      <c r="L246"/>
    </row>
    <row r="247" spans="1:12" x14ac:dyDescent="0.35">
      <c r="A247" t="s">
        <v>11</v>
      </c>
      <c r="B247">
        <v>2008</v>
      </c>
      <c r="C247">
        <v>1438</v>
      </c>
      <c r="D247">
        <v>1789</v>
      </c>
      <c r="E247">
        <v>103</v>
      </c>
      <c r="F247">
        <v>1272</v>
      </c>
      <c r="G247">
        <v>2</v>
      </c>
      <c r="H247">
        <v>3478</v>
      </c>
      <c r="I247">
        <v>0</v>
      </c>
      <c r="J247">
        <f>SUM(C247:I247)</f>
        <v>8082</v>
      </c>
      <c r="L247"/>
    </row>
    <row r="248" spans="1:12" x14ac:dyDescent="0.35">
      <c r="A248" t="s">
        <v>21</v>
      </c>
      <c r="B248">
        <v>2008</v>
      </c>
      <c r="C248">
        <v>568</v>
      </c>
      <c r="D248">
        <v>166</v>
      </c>
      <c r="E248">
        <v>31</v>
      </c>
      <c r="F248">
        <v>2745</v>
      </c>
      <c r="G248">
        <v>258</v>
      </c>
      <c r="H248">
        <v>4138</v>
      </c>
      <c r="I248">
        <v>0</v>
      </c>
      <c r="J248">
        <f>SUM(C248:I248)</f>
        <v>7906</v>
      </c>
      <c r="L248"/>
    </row>
    <row r="249" spans="1:12" x14ac:dyDescent="0.35">
      <c r="A249" t="s">
        <v>12</v>
      </c>
      <c r="B249">
        <v>2008</v>
      </c>
      <c r="C249">
        <v>1302</v>
      </c>
      <c r="D249">
        <v>1789</v>
      </c>
      <c r="E249">
        <v>1210</v>
      </c>
      <c r="F249">
        <v>999</v>
      </c>
      <c r="G249">
        <v>21</v>
      </c>
      <c r="H249">
        <v>1992</v>
      </c>
      <c r="I249">
        <v>22</v>
      </c>
      <c r="J249">
        <f>SUM(C249:I249)</f>
        <v>7335</v>
      </c>
      <c r="L249"/>
    </row>
    <row r="250" spans="1:12" x14ac:dyDescent="0.35">
      <c r="A250" t="s">
        <v>28</v>
      </c>
      <c r="B250">
        <v>2008</v>
      </c>
      <c r="C250">
        <v>1113</v>
      </c>
      <c r="D250">
        <v>762</v>
      </c>
      <c r="E250">
        <v>401</v>
      </c>
      <c r="F250">
        <v>2782</v>
      </c>
      <c r="G250">
        <v>282</v>
      </c>
      <c r="H250">
        <v>1618</v>
      </c>
      <c r="I250">
        <v>0</v>
      </c>
      <c r="J250">
        <f>SUM(C250:I250)</f>
        <v>6958</v>
      </c>
      <c r="L250"/>
    </row>
    <row r="251" spans="1:12" x14ac:dyDescent="0.35">
      <c r="A251" t="s">
        <v>32</v>
      </c>
      <c r="B251">
        <v>2008</v>
      </c>
      <c r="C251">
        <v>573</v>
      </c>
      <c r="D251">
        <v>1160</v>
      </c>
      <c r="E251">
        <v>207</v>
      </c>
      <c r="F251">
        <v>1705</v>
      </c>
      <c r="G251">
        <v>974</v>
      </c>
      <c r="H251">
        <v>1648</v>
      </c>
      <c r="I251">
        <v>0</v>
      </c>
      <c r="J251">
        <f>SUM(C251:I251)</f>
        <v>6267</v>
      </c>
      <c r="L251"/>
    </row>
    <row r="252" spans="1:12" x14ac:dyDescent="0.35">
      <c r="A252" t="s">
        <v>20</v>
      </c>
      <c r="B252">
        <v>2008</v>
      </c>
      <c r="C252">
        <v>446</v>
      </c>
      <c r="D252">
        <v>405</v>
      </c>
      <c r="E252">
        <v>259</v>
      </c>
      <c r="F252">
        <v>1954</v>
      </c>
      <c r="G252">
        <v>44</v>
      </c>
      <c r="H252">
        <v>2638</v>
      </c>
      <c r="I252">
        <v>1</v>
      </c>
      <c r="J252">
        <f>SUM(C252:I252)</f>
        <v>5747</v>
      </c>
      <c r="L252"/>
    </row>
    <row r="253" spans="1:12" x14ac:dyDescent="0.35">
      <c r="A253" t="s">
        <v>16</v>
      </c>
      <c r="B253">
        <v>2008</v>
      </c>
      <c r="C253">
        <v>631</v>
      </c>
      <c r="D253">
        <v>644</v>
      </c>
      <c r="E253">
        <v>302</v>
      </c>
      <c r="F253">
        <v>435</v>
      </c>
      <c r="G253">
        <v>605</v>
      </c>
      <c r="H253">
        <v>2435</v>
      </c>
      <c r="I253">
        <v>0</v>
      </c>
      <c r="J253">
        <f>SUM(C253:I253)</f>
        <v>5052</v>
      </c>
      <c r="L253"/>
    </row>
    <row r="254" spans="1:12" x14ac:dyDescent="0.35">
      <c r="A254" t="s">
        <v>13</v>
      </c>
      <c r="B254">
        <v>2008</v>
      </c>
      <c r="C254">
        <v>978</v>
      </c>
      <c r="D254">
        <v>216</v>
      </c>
      <c r="E254">
        <v>106</v>
      </c>
      <c r="F254">
        <v>1621</v>
      </c>
      <c r="G254">
        <v>125</v>
      </c>
      <c r="H254">
        <v>897</v>
      </c>
      <c r="I254">
        <v>0</v>
      </c>
      <c r="J254">
        <f>SUM(C254:I254)</f>
        <v>3943</v>
      </c>
      <c r="L254"/>
    </row>
    <row r="255" spans="1:12" x14ac:dyDescent="0.35">
      <c r="A255" t="s">
        <v>19</v>
      </c>
      <c r="B255">
        <v>2008</v>
      </c>
      <c r="C255">
        <v>791</v>
      </c>
      <c r="D255">
        <v>499</v>
      </c>
      <c r="E255">
        <v>266</v>
      </c>
      <c r="F255">
        <v>271</v>
      </c>
      <c r="G255">
        <v>23</v>
      </c>
      <c r="H255">
        <v>851</v>
      </c>
      <c r="I255">
        <v>39</v>
      </c>
      <c r="J255">
        <f>SUM(C255:I255)</f>
        <v>2740</v>
      </c>
      <c r="L255"/>
    </row>
    <row r="256" spans="1:12" x14ac:dyDescent="0.35">
      <c r="A256" t="s">
        <v>29</v>
      </c>
      <c r="B256">
        <v>2008</v>
      </c>
      <c r="C256">
        <v>517</v>
      </c>
      <c r="D256">
        <v>514</v>
      </c>
      <c r="E256">
        <v>128</v>
      </c>
      <c r="F256">
        <v>388</v>
      </c>
      <c r="G256">
        <v>49</v>
      </c>
      <c r="H256">
        <v>984</v>
      </c>
      <c r="I256">
        <v>0</v>
      </c>
      <c r="J256">
        <f>SUM(C256:I256)</f>
        <v>2580</v>
      </c>
      <c r="L256"/>
    </row>
    <row r="257" spans="1:12" x14ac:dyDescent="0.35">
      <c r="A257" t="s">
        <v>18</v>
      </c>
      <c r="B257">
        <v>2008</v>
      </c>
      <c r="C257">
        <v>219</v>
      </c>
      <c r="D257">
        <v>656</v>
      </c>
      <c r="E257">
        <v>21</v>
      </c>
      <c r="F257">
        <v>935</v>
      </c>
      <c r="G257">
        <v>296</v>
      </c>
      <c r="H257">
        <v>162</v>
      </c>
      <c r="I257">
        <v>0</v>
      </c>
      <c r="J257">
        <f>SUM(C257:I257)</f>
        <v>2289</v>
      </c>
      <c r="L257"/>
    </row>
    <row r="258" spans="1:12" x14ac:dyDescent="0.35">
      <c r="A258" t="s">
        <v>33</v>
      </c>
      <c r="B258">
        <v>2008</v>
      </c>
      <c r="C258">
        <v>204</v>
      </c>
      <c r="D258">
        <v>110</v>
      </c>
      <c r="E258">
        <v>16</v>
      </c>
      <c r="F258">
        <v>346</v>
      </c>
      <c r="G258">
        <v>4</v>
      </c>
      <c r="H258">
        <v>735</v>
      </c>
      <c r="I258">
        <v>0</v>
      </c>
      <c r="J258">
        <f>SUM(C258:I258)</f>
        <v>1415</v>
      </c>
      <c r="L258"/>
    </row>
    <row r="259" spans="1:12" x14ac:dyDescent="0.35">
      <c r="A259" t="s">
        <v>35</v>
      </c>
      <c r="B259">
        <v>2008</v>
      </c>
      <c r="C259">
        <v>87</v>
      </c>
      <c r="D259">
        <v>222</v>
      </c>
      <c r="E259">
        <v>73</v>
      </c>
      <c r="F259">
        <v>120</v>
      </c>
      <c r="G259">
        <v>306</v>
      </c>
      <c r="H259">
        <v>340</v>
      </c>
      <c r="I259">
        <v>0</v>
      </c>
      <c r="J259">
        <f>SUM(C259:I259)</f>
        <v>1148</v>
      </c>
      <c r="L259"/>
    </row>
    <row r="260" spans="1:12" x14ac:dyDescent="0.35">
      <c r="A260" t="s">
        <v>17</v>
      </c>
      <c r="B260">
        <v>2008</v>
      </c>
      <c r="C260">
        <v>157</v>
      </c>
      <c r="D260">
        <v>137</v>
      </c>
      <c r="E260">
        <v>3</v>
      </c>
      <c r="F260">
        <v>295</v>
      </c>
      <c r="G260">
        <v>41</v>
      </c>
      <c r="H260">
        <v>343</v>
      </c>
      <c r="I260">
        <v>0</v>
      </c>
      <c r="J260">
        <f>SUM(C260:I260)</f>
        <v>976</v>
      </c>
      <c r="L260"/>
    </row>
    <row r="261" spans="1:12" x14ac:dyDescent="0.35">
      <c r="A261" t="s">
        <v>24</v>
      </c>
      <c r="B261">
        <v>2008</v>
      </c>
      <c r="C261">
        <v>38</v>
      </c>
      <c r="D261">
        <v>87</v>
      </c>
      <c r="E261">
        <v>1</v>
      </c>
      <c r="F261">
        <v>57</v>
      </c>
      <c r="G261">
        <v>0</v>
      </c>
      <c r="H261">
        <v>28</v>
      </c>
      <c r="I261">
        <v>0</v>
      </c>
      <c r="J261">
        <f>SUM(C261:I261)</f>
        <v>211</v>
      </c>
      <c r="L261"/>
    </row>
    <row r="262" spans="1:12" x14ac:dyDescent="0.35">
      <c r="A262" t="s">
        <v>25</v>
      </c>
      <c r="B262">
        <v>2008</v>
      </c>
      <c r="C262">
        <v>88</v>
      </c>
      <c r="D262">
        <v>25</v>
      </c>
      <c r="E262">
        <v>2</v>
      </c>
      <c r="F262">
        <v>54</v>
      </c>
      <c r="G262">
        <v>4</v>
      </c>
      <c r="H262">
        <v>32</v>
      </c>
      <c r="I262">
        <v>0</v>
      </c>
      <c r="J262">
        <f>SUM(C262:I262)</f>
        <v>205</v>
      </c>
      <c r="L262"/>
    </row>
    <row r="263" spans="1:12" x14ac:dyDescent="0.35">
      <c r="A263" t="s">
        <v>10</v>
      </c>
      <c r="B263">
        <v>2008</v>
      </c>
      <c r="C263">
        <v>42</v>
      </c>
      <c r="D263">
        <v>47</v>
      </c>
      <c r="E263">
        <v>0</v>
      </c>
      <c r="F263">
        <v>72</v>
      </c>
      <c r="G263">
        <v>1</v>
      </c>
      <c r="H263">
        <v>13</v>
      </c>
      <c r="I263">
        <v>0</v>
      </c>
      <c r="J263">
        <f>SUM(C263:I263)</f>
        <v>175</v>
      </c>
      <c r="L263"/>
    </row>
    <row r="264" spans="1:12" x14ac:dyDescent="0.35">
      <c r="A264" t="s">
        <v>26</v>
      </c>
      <c r="B264">
        <v>2008</v>
      </c>
      <c r="C264">
        <v>77</v>
      </c>
      <c r="D264">
        <v>1</v>
      </c>
      <c r="E264">
        <v>0</v>
      </c>
      <c r="F264">
        <v>78</v>
      </c>
      <c r="G264">
        <v>0</v>
      </c>
      <c r="H264">
        <v>5</v>
      </c>
      <c r="I264">
        <v>0</v>
      </c>
      <c r="J264">
        <f>SUM(C264:I264)</f>
        <v>161</v>
      </c>
      <c r="L264"/>
    </row>
    <row r="265" spans="1:12" x14ac:dyDescent="0.35">
      <c r="A265" t="s">
        <v>38</v>
      </c>
      <c r="B265">
        <v>2008</v>
      </c>
      <c r="C265">
        <v>20</v>
      </c>
      <c r="D265">
        <v>42</v>
      </c>
      <c r="E265">
        <v>3</v>
      </c>
      <c r="F265">
        <v>19</v>
      </c>
      <c r="G265">
        <v>2</v>
      </c>
      <c r="H265">
        <v>49</v>
      </c>
      <c r="I265">
        <v>0</v>
      </c>
      <c r="J265">
        <f>SUM(C265:I265)</f>
        <v>135</v>
      </c>
      <c r="L265"/>
    </row>
    <row r="266" spans="1:12" x14ac:dyDescent="0.35">
      <c r="A266" t="s">
        <v>42</v>
      </c>
      <c r="B266">
        <v>2008</v>
      </c>
      <c r="C266">
        <v>8</v>
      </c>
      <c r="D266">
        <v>9</v>
      </c>
      <c r="E266">
        <v>2</v>
      </c>
      <c r="F266">
        <v>65</v>
      </c>
      <c r="G266">
        <v>21</v>
      </c>
      <c r="H266">
        <v>12</v>
      </c>
      <c r="I266">
        <v>0</v>
      </c>
      <c r="J266">
        <f>SUM(C266:I266)</f>
        <v>117</v>
      </c>
      <c r="L266"/>
    </row>
    <row r="267" spans="1:12" x14ac:dyDescent="0.35">
      <c r="A267" t="s">
        <v>14</v>
      </c>
      <c r="B267">
        <v>2008</v>
      </c>
      <c r="C267">
        <v>30</v>
      </c>
      <c r="D267">
        <v>28</v>
      </c>
      <c r="E267">
        <v>2</v>
      </c>
      <c r="F267">
        <v>32</v>
      </c>
      <c r="G267">
        <v>12</v>
      </c>
      <c r="H267">
        <v>12</v>
      </c>
      <c r="I267">
        <v>0</v>
      </c>
      <c r="J267">
        <f>SUM(C267:I267)</f>
        <v>116</v>
      </c>
      <c r="L267"/>
    </row>
    <row r="268" spans="1:12" x14ac:dyDescent="0.35">
      <c r="A268" t="s">
        <v>37</v>
      </c>
      <c r="B268">
        <v>2008</v>
      </c>
      <c r="C268">
        <v>12</v>
      </c>
      <c r="D268">
        <v>13</v>
      </c>
      <c r="E268">
        <v>2</v>
      </c>
      <c r="F268">
        <v>24</v>
      </c>
      <c r="G268">
        <v>3</v>
      </c>
      <c r="H268">
        <v>26</v>
      </c>
      <c r="I268">
        <v>0</v>
      </c>
      <c r="J268">
        <f>SUM(C268:I268)</f>
        <v>80</v>
      </c>
      <c r="L268"/>
    </row>
    <row r="269" spans="1:12" x14ac:dyDescent="0.35">
      <c r="A269" t="s">
        <v>31</v>
      </c>
      <c r="B269">
        <v>2008</v>
      </c>
      <c r="C269">
        <v>20</v>
      </c>
      <c r="D269">
        <v>4</v>
      </c>
      <c r="E269">
        <v>0</v>
      </c>
      <c r="F269">
        <v>19</v>
      </c>
      <c r="G269">
        <v>0</v>
      </c>
      <c r="H269">
        <v>5</v>
      </c>
      <c r="I269">
        <v>0</v>
      </c>
      <c r="J269">
        <f>SUM(C269:I269)</f>
        <v>48</v>
      </c>
      <c r="L269"/>
    </row>
    <row r="270" spans="1:12" x14ac:dyDescent="0.35">
      <c r="A270" t="s">
        <v>27</v>
      </c>
      <c r="B270">
        <v>2008</v>
      </c>
      <c r="C270">
        <v>19</v>
      </c>
      <c r="D270">
        <v>7</v>
      </c>
      <c r="E270">
        <v>0</v>
      </c>
      <c r="F270">
        <v>15</v>
      </c>
      <c r="G270">
        <v>1</v>
      </c>
      <c r="H270">
        <v>4</v>
      </c>
      <c r="I270">
        <v>0</v>
      </c>
      <c r="J270">
        <f>SUM(C270:I270)</f>
        <v>46</v>
      </c>
      <c r="L270"/>
    </row>
    <row r="271" spans="1:12" x14ac:dyDescent="0.35">
      <c r="A271" t="s">
        <v>39</v>
      </c>
      <c r="B271">
        <v>2008</v>
      </c>
      <c r="C271">
        <v>6</v>
      </c>
      <c r="D271">
        <v>11</v>
      </c>
      <c r="E271">
        <v>0</v>
      </c>
      <c r="F271">
        <v>4</v>
      </c>
      <c r="G271">
        <v>0</v>
      </c>
      <c r="H271">
        <v>4</v>
      </c>
      <c r="I271">
        <v>0</v>
      </c>
      <c r="J271">
        <f>SUM(C271:I271)</f>
        <v>25</v>
      </c>
      <c r="L271"/>
    </row>
    <row r="272" spans="1:12" x14ac:dyDescent="0.35">
      <c r="A272" t="s">
        <v>40</v>
      </c>
      <c r="B272">
        <v>2008</v>
      </c>
      <c r="C272">
        <v>0</v>
      </c>
      <c r="D272">
        <v>1</v>
      </c>
      <c r="E272">
        <v>0</v>
      </c>
      <c r="F272">
        <v>2</v>
      </c>
      <c r="G272">
        <v>1</v>
      </c>
      <c r="H272">
        <v>5</v>
      </c>
      <c r="I272">
        <v>0</v>
      </c>
      <c r="J272">
        <f>SUM(C272:I272)</f>
        <v>9</v>
      </c>
      <c r="L272"/>
    </row>
    <row r="273" spans="1:12" x14ac:dyDescent="0.35">
      <c r="A273" t="s">
        <v>41</v>
      </c>
      <c r="B273">
        <v>2008</v>
      </c>
      <c r="C273">
        <v>2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f>SUM(C273:I273)</f>
        <v>4</v>
      </c>
      <c r="L273"/>
    </row>
    <row r="274" spans="1:12" x14ac:dyDescent="0.35">
      <c r="A274" t="s">
        <v>9</v>
      </c>
      <c r="B274">
        <v>2009</v>
      </c>
      <c r="C274">
        <v>1188</v>
      </c>
      <c r="D274">
        <v>1526</v>
      </c>
      <c r="E274">
        <v>546</v>
      </c>
      <c r="F274">
        <v>5147</v>
      </c>
      <c r="G274">
        <v>3520</v>
      </c>
      <c r="H274">
        <v>11297</v>
      </c>
      <c r="I274">
        <v>0</v>
      </c>
      <c r="J274">
        <f>SUM(C274:I274)</f>
        <v>23224</v>
      </c>
      <c r="L274"/>
    </row>
    <row r="275" spans="1:12" x14ac:dyDescent="0.35">
      <c r="A275" t="s">
        <v>36</v>
      </c>
      <c r="B275">
        <v>2009</v>
      </c>
      <c r="C275">
        <v>2336</v>
      </c>
      <c r="D275">
        <v>2187</v>
      </c>
      <c r="E275">
        <v>506</v>
      </c>
      <c r="F275">
        <v>1942</v>
      </c>
      <c r="G275">
        <v>108</v>
      </c>
      <c r="H275">
        <v>16112</v>
      </c>
      <c r="I275">
        <v>5</v>
      </c>
      <c r="J275">
        <f>SUM(C275:I275)</f>
        <v>23196</v>
      </c>
      <c r="L275"/>
    </row>
    <row r="276" spans="1:12" x14ac:dyDescent="0.35">
      <c r="A276" t="s">
        <v>34</v>
      </c>
      <c r="B276">
        <v>2009</v>
      </c>
      <c r="C276">
        <v>1759</v>
      </c>
      <c r="D276">
        <v>5078</v>
      </c>
      <c r="E276">
        <v>2232</v>
      </c>
      <c r="F276">
        <v>2782</v>
      </c>
      <c r="G276">
        <v>2524</v>
      </c>
      <c r="H276">
        <v>8566</v>
      </c>
      <c r="I276">
        <v>0</v>
      </c>
      <c r="J276">
        <f>SUM(C276:I276)</f>
        <v>22941</v>
      </c>
      <c r="L276"/>
    </row>
    <row r="277" spans="1:12" x14ac:dyDescent="0.35">
      <c r="A277" t="s">
        <v>30</v>
      </c>
      <c r="B277">
        <v>2009</v>
      </c>
      <c r="C277">
        <v>1519</v>
      </c>
      <c r="D277">
        <v>2310</v>
      </c>
      <c r="E277">
        <v>436</v>
      </c>
      <c r="F277">
        <v>2485</v>
      </c>
      <c r="G277">
        <v>24</v>
      </c>
      <c r="H277">
        <v>10371</v>
      </c>
      <c r="I277">
        <v>0</v>
      </c>
      <c r="J277">
        <f>SUM(C277:I277)</f>
        <v>17145</v>
      </c>
      <c r="L277"/>
    </row>
    <row r="278" spans="1:12" x14ac:dyDescent="0.35">
      <c r="A278" t="s">
        <v>22</v>
      </c>
      <c r="B278">
        <v>2009</v>
      </c>
      <c r="C278">
        <v>2998</v>
      </c>
      <c r="D278">
        <v>841</v>
      </c>
      <c r="E278">
        <v>858</v>
      </c>
      <c r="F278">
        <v>6307</v>
      </c>
      <c r="G278">
        <v>728</v>
      </c>
      <c r="H278">
        <v>3983</v>
      </c>
      <c r="I278">
        <v>1</v>
      </c>
      <c r="J278">
        <f>SUM(C278:I278)</f>
        <v>15716</v>
      </c>
      <c r="L278"/>
    </row>
    <row r="279" spans="1:12" x14ac:dyDescent="0.35">
      <c r="A279" t="s">
        <v>23</v>
      </c>
      <c r="B279">
        <v>2009</v>
      </c>
      <c r="C279">
        <v>1483</v>
      </c>
      <c r="D279">
        <v>926</v>
      </c>
      <c r="E279">
        <v>341</v>
      </c>
      <c r="F279">
        <v>3196</v>
      </c>
      <c r="G279">
        <v>1099</v>
      </c>
      <c r="H279">
        <v>7681</v>
      </c>
      <c r="I279">
        <v>0</v>
      </c>
      <c r="J279">
        <f>SUM(C279:I279)</f>
        <v>14726</v>
      </c>
      <c r="L279"/>
    </row>
    <row r="280" spans="1:12" x14ac:dyDescent="0.35">
      <c r="A280" t="s">
        <v>11</v>
      </c>
      <c r="B280">
        <v>2009</v>
      </c>
      <c r="C280">
        <v>1631</v>
      </c>
      <c r="D280">
        <v>2092</v>
      </c>
      <c r="E280">
        <v>170</v>
      </c>
      <c r="F280">
        <v>1342</v>
      </c>
      <c r="G280">
        <v>10</v>
      </c>
      <c r="H280">
        <v>4398</v>
      </c>
      <c r="I280">
        <v>1</v>
      </c>
      <c r="J280">
        <f>SUM(C280:I280)</f>
        <v>9644</v>
      </c>
      <c r="L280"/>
    </row>
    <row r="281" spans="1:12" x14ac:dyDescent="0.35">
      <c r="A281" t="s">
        <v>15</v>
      </c>
      <c r="B281">
        <v>2009</v>
      </c>
      <c r="C281">
        <v>433</v>
      </c>
      <c r="D281">
        <v>1162</v>
      </c>
      <c r="E281">
        <v>24</v>
      </c>
      <c r="F281">
        <v>727</v>
      </c>
      <c r="G281">
        <v>114</v>
      </c>
      <c r="H281">
        <v>5506</v>
      </c>
      <c r="I281">
        <v>0</v>
      </c>
      <c r="J281">
        <f>SUM(C281:I281)</f>
        <v>7966</v>
      </c>
      <c r="L281"/>
    </row>
    <row r="282" spans="1:12" x14ac:dyDescent="0.35">
      <c r="A282" t="s">
        <v>21</v>
      </c>
      <c r="B282">
        <v>2009</v>
      </c>
      <c r="C282">
        <v>568</v>
      </c>
      <c r="D282">
        <v>173</v>
      </c>
      <c r="E282">
        <v>20</v>
      </c>
      <c r="F282">
        <v>2540</v>
      </c>
      <c r="G282">
        <v>395</v>
      </c>
      <c r="H282">
        <v>4007</v>
      </c>
      <c r="I282">
        <v>0</v>
      </c>
      <c r="J282">
        <f>SUM(C282:I282)</f>
        <v>7703</v>
      </c>
      <c r="L282"/>
    </row>
    <row r="283" spans="1:12" x14ac:dyDescent="0.35">
      <c r="A283" t="s">
        <v>12</v>
      </c>
      <c r="B283">
        <v>2009</v>
      </c>
      <c r="C283">
        <v>929</v>
      </c>
      <c r="D283">
        <v>1986</v>
      </c>
      <c r="E283">
        <v>1295</v>
      </c>
      <c r="F283">
        <v>726</v>
      </c>
      <c r="G283">
        <v>12</v>
      </c>
      <c r="H283">
        <v>2532</v>
      </c>
      <c r="I283">
        <v>31</v>
      </c>
      <c r="J283">
        <f>SUM(C283:I283)</f>
        <v>7511</v>
      </c>
      <c r="L283"/>
    </row>
    <row r="284" spans="1:12" x14ac:dyDescent="0.35">
      <c r="A284" t="s">
        <v>28</v>
      </c>
      <c r="B284">
        <v>2009</v>
      </c>
      <c r="C284">
        <v>1023</v>
      </c>
      <c r="D284">
        <v>799</v>
      </c>
      <c r="E284">
        <v>384</v>
      </c>
      <c r="F284">
        <v>2697</v>
      </c>
      <c r="G284">
        <v>210</v>
      </c>
      <c r="H284">
        <v>2047</v>
      </c>
      <c r="I284">
        <v>1</v>
      </c>
      <c r="J284">
        <f>SUM(C284:I284)</f>
        <v>7161</v>
      </c>
      <c r="L284"/>
    </row>
    <row r="285" spans="1:12" x14ac:dyDescent="0.35">
      <c r="A285" t="s">
        <v>20</v>
      </c>
      <c r="B285">
        <v>2009</v>
      </c>
      <c r="C285">
        <v>509</v>
      </c>
      <c r="D285">
        <v>408</v>
      </c>
      <c r="E285">
        <v>264</v>
      </c>
      <c r="F285">
        <v>2186</v>
      </c>
      <c r="G285">
        <v>64</v>
      </c>
      <c r="H285">
        <v>3185</v>
      </c>
      <c r="I285">
        <v>2</v>
      </c>
      <c r="J285">
        <f>SUM(C285:I285)</f>
        <v>6618</v>
      </c>
      <c r="L285"/>
    </row>
    <row r="286" spans="1:12" x14ac:dyDescent="0.35">
      <c r="A286" t="s">
        <v>16</v>
      </c>
      <c r="B286">
        <v>2009</v>
      </c>
      <c r="C286">
        <v>603</v>
      </c>
      <c r="D286">
        <v>659</v>
      </c>
      <c r="E286">
        <v>281</v>
      </c>
      <c r="F286">
        <v>451</v>
      </c>
      <c r="G286">
        <v>605</v>
      </c>
      <c r="H286">
        <v>2617</v>
      </c>
      <c r="I286">
        <v>0</v>
      </c>
      <c r="J286">
        <f>SUM(C286:I286)</f>
        <v>5216</v>
      </c>
      <c r="L286"/>
    </row>
    <row r="287" spans="1:12" x14ac:dyDescent="0.35">
      <c r="A287" t="s">
        <v>32</v>
      </c>
      <c r="B287">
        <v>2009</v>
      </c>
      <c r="C287">
        <v>596</v>
      </c>
      <c r="D287">
        <v>1133</v>
      </c>
      <c r="E287">
        <v>194</v>
      </c>
      <c r="F287">
        <v>1242</v>
      </c>
      <c r="G287">
        <v>501</v>
      </c>
      <c r="H287">
        <v>1460</v>
      </c>
      <c r="I287">
        <v>0</v>
      </c>
      <c r="J287">
        <f>SUM(C287:I287)</f>
        <v>5126</v>
      </c>
      <c r="L287"/>
    </row>
    <row r="288" spans="1:12" x14ac:dyDescent="0.35">
      <c r="A288" t="s">
        <v>13</v>
      </c>
      <c r="B288">
        <v>2009</v>
      </c>
      <c r="C288">
        <v>976</v>
      </c>
      <c r="D288">
        <v>229</v>
      </c>
      <c r="E288">
        <v>128</v>
      </c>
      <c r="F288">
        <v>1598</v>
      </c>
      <c r="G288">
        <v>152</v>
      </c>
      <c r="H288">
        <v>893</v>
      </c>
      <c r="I288">
        <v>0</v>
      </c>
      <c r="J288">
        <f>SUM(C288:I288)</f>
        <v>3976</v>
      </c>
      <c r="L288"/>
    </row>
    <row r="289" spans="1:12" x14ac:dyDescent="0.35">
      <c r="A289" t="s">
        <v>18</v>
      </c>
      <c r="B289">
        <v>2009</v>
      </c>
      <c r="C289">
        <v>237</v>
      </c>
      <c r="D289">
        <v>825</v>
      </c>
      <c r="E289">
        <v>12</v>
      </c>
      <c r="F289">
        <v>972</v>
      </c>
      <c r="G289">
        <v>371</v>
      </c>
      <c r="H289">
        <v>196</v>
      </c>
      <c r="I289">
        <v>0</v>
      </c>
      <c r="J289">
        <f>SUM(C289:I289)</f>
        <v>2613</v>
      </c>
      <c r="L289"/>
    </row>
    <row r="290" spans="1:12" x14ac:dyDescent="0.35">
      <c r="A290" t="s">
        <v>19</v>
      </c>
      <c r="B290">
        <v>2009</v>
      </c>
      <c r="C290">
        <v>719</v>
      </c>
      <c r="D290">
        <v>517</v>
      </c>
      <c r="E290">
        <v>295</v>
      </c>
      <c r="F290">
        <v>276</v>
      </c>
      <c r="G290">
        <v>83</v>
      </c>
      <c r="H290">
        <v>710</v>
      </c>
      <c r="I290">
        <v>6</v>
      </c>
      <c r="J290">
        <f>SUM(C290:I290)</f>
        <v>2606</v>
      </c>
      <c r="L290"/>
    </row>
    <row r="291" spans="1:12" x14ac:dyDescent="0.35">
      <c r="A291" t="s">
        <v>29</v>
      </c>
      <c r="B291">
        <v>2009</v>
      </c>
      <c r="C291">
        <v>511</v>
      </c>
      <c r="D291">
        <v>513</v>
      </c>
      <c r="E291">
        <v>126</v>
      </c>
      <c r="F291">
        <v>319</v>
      </c>
      <c r="G291">
        <v>33</v>
      </c>
      <c r="H291">
        <v>1061</v>
      </c>
      <c r="I291">
        <v>0</v>
      </c>
      <c r="J291">
        <f>SUM(C291:I291)</f>
        <v>2563</v>
      </c>
      <c r="L291"/>
    </row>
    <row r="292" spans="1:12" x14ac:dyDescent="0.35">
      <c r="A292" t="s">
        <v>33</v>
      </c>
      <c r="B292">
        <v>2009</v>
      </c>
      <c r="C292">
        <v>190</v>
      </c>
      <c r="D292">
        <v>92</v>
      </c>
      <c r="E292">
        <v>29</v>
      </c>
      <c r="F292">
        <v>384</v>
      </c>
      <c r="G292">
        <v>5</v>
      </c>
      <c r="H292">
        <v>815</v>
      </c>
      <c r="I292">
        <v>0</v>
      </c>
      <c r="J292">
        <f>SUM(C292:I292)</f>
        <v>1515</v>
      </c>
      <c r="L292"/>
    </row>
    <row r="293" spans="1:12" x14ac:dyDescent="0.35">
      <c r="A293" t="s">
        <v>35</v>
      </c>
      <c r="B293">
        <v>2009</v>
      </c>
      <c r="C293">
        <v>111</v>
      </c>
      <c r="D293">
        <v>247</v>
      </c>
      <c r="E293">
        <v>94</v>
      </c>
      <c r="F293">
        <v>119</v>
      </c>
      <c r="G293">
        <v>249</v>
      </c>
      <c r="H293">
        <v>361</v>
      </c>
      <c r="I293">
        <v>0</v>
      </c>
      <c r="J293">
        <f>SUM(C293:I293)</f>
        <v>1181</v>
      </c>
      <c r="L293"/>
    </row>
    <row r="294" spans="1:12" x14ac:dyDescent="0.35">
      <c r="A294" t="s">
        <v>17</v>
      </c>
      <c r="B294">
        <v>2009</v>
      </c>
      <c r="C294">
        <v>183</v>
      </c>
      <c r="D294">
        <v>122</v>
      </c>
      <c r="E294">
        <v>1</v>
      </c>
      <c r="F294">
        <v>318</v>
      </c>
      <c r="G294">
        <v>37</v>
      </c>
      <c r="H294">
        <v>284</v>
      </c>
      <c r="I294">
        <v>0</v>
      </c>
      <c r="J294">
        <f>SUM(C294:I294)</f>
        <v>945</v>
      </c>
      <c r="L294"/>
    </row>
    <row r="295" spans="1:12" x14ac:dyDescent="0.35">
      <c r="A295" t="s">
        <v>25</v>
      </c>
      <c r="B295">
        <v>2009</v>
      </c>
      <c r="C295">
        <v>112</v>
      </c>
      <c r="D295">
        <v>26</v>
      </c>
      <c r="E295">
        <v>0</v>
      </c>
      <c r="F295">
        <v>72</v>
      </c>
      <c r="G295">
        <v>1</v>
      </c>
      <c r="H295">
        <v>24</v>
      </c>
      <c r="I295">
        <v>1</v>
      </c>
      <c r="J295">
        <f>SUM(C295:I295)</f>
        <v>236</v>
      </c>
      <c r="L295"/>
    </row>
    <row r="296" spans="1:12" x14ac:dyDescent="0.35">
      <c r="A296" t="s">
        <v>24</v>
      </c>
      <c r="B296">
        <v>2009</v>
      </c>
      <c r="C296">
        <v>31</v>
      </c>
      <c r="D296">
        <v>97</v>
      </c>
      <c r="E296">
        <v>0</v>
      </c>
      <c r="F296">
        <v>39</v>
      </c>
      <c r="G296">
        <v>2</v>
      </c>
      <c r="H296">
        <v>25</v>
      </c>
      <c r="I296">
        <v>0</v>
      </c>
      <c r="J296">
        <f>SUM(C296:I296)</f>
        <v>194</v>
      </c>
      <c r="L296"/>
    </row>
    <row r="297" spans="1:12" x14ac:dyDescent="0.35">
      <c r="A297" t="s">
        <v>10</v>
      </c>
      <c r="B297">
        <v>2009</v>
      </c>
      <c r="C297">
        <v>59</v>
      </c>
      <c r="D297">
        <v>28</v>
      </c>
      <c r="E297">
        <v>0</v>
      </c>
      <c r="F297">
        <v>58</v>
      </c>
      <c r="G297">
        <v>6</v>
      </c>
      <c r="H297">
        <v>13</v>
      </c>
      <c r="I297">
        <v>0</v>
      </c>
      <c r="J297">
        <f>SUM(C297:I297)</f>
        <v>164</v>
      </c>
      <c r="L297"/>
    </row>
    <row r="298" spans="1:12" x14ac:dyDescent="0.35">
      <c r="A298" t="s">
        <v>26</v>
      </c>
      <c r="B298">
        <v>2009</v>
      </c>
      <c r="C298">
        <v>83</v>
      </c>
      <c r="D298">
        <v>0</v>
      </c>
      <c r="E298">
        <v>0</v>
      </c>
      <c r="F298">
        <v>61</v>
      </c>
      <c r="G298">
        <v>1</v>
      </c>
      <c r="H298">
        <v>4</v>
      </c>
      <c r="I298">
        <v>0</v>
      </c>
      <c r="J298">
        <f>SUM(C298:I298)</f>
        <v>149</v>
      </c>
      <c r="L298"/>
    </row>
    <row r="299" spans="1:12" x14ac:dyDescent="0.35">
      <c r="A299" t="s">
        <v>38</v>
      </c>
      <c r="B299">
        <v>2009</v>
      </c>
      <c r="C299">
        <v>29</v>
      </c>
      <c r="D299">
        <v>36</v>
      </c>
      <c r="E299">
        <v>2</v>
      </c>
      <c r="F299">
        <v>26</v>
      </c>
      <c r="G299">
        <v>2</v>
      </c>
      <c r="H299">
        <v>51</v>
      </c>
      <c r="I299">
        <v>0</v>
      </c>
      <c r="J299">
        <f>SUM(C299:I299)</f>
        <v>146</v>
      </c>
      <c r="L299"/>
    </row>
    <row r="300" spans="1:12" x14ac:dyDescent="0.35">
      <c r="A300" t="s">
        <v>14</v>
      </c>
      <c r="B300">
        <v>2009</v>
      </c>
      <c r="C300">
        <v>47</v>
      </c>
      <c r="D300">
        <v>22</v>
      </c>
      <c r="E300">
        <v>3</v>
      </c>
      <c r="F300">
        <v>37</v>
      </c>
      <c r="G300">
        <v>10</v>
      </c>
      <c r="H300">
        <v>21</v>
      </c>
      <c r="I300">
        <v>0</v>
      </c>
      <c r="J300">
        <f>SUM(C300:I300)</f>
        <v>140</v>
      </c>
      <c r="L300"/>
    </row>
    <row r="301" spans="1:12" x14ac:dyDescent="0.35">
      <c r="A301" t="s">
        <v>42</v>
      </c>
      <c r="B301">
        <v>2009</v>
      </c>
      <c r="C301">
        <v>1</v>
      </c>
      <c r="D301">
        <v>13</v>
      </c>
      <c r="E301">
        <v>0</v>
      </c>
      <c r="F301">
        <v>53</v>
      </c>
      <c r="G301">
        <v>16</v>
      </c>
      <c r="H301">
        <v>10</v>
      </c>
      <c r="I301">
        <v>0</v>
      </c>
      <c r="J301">
        <f>SUM(C301:I301)</f>
        <v>93</v>
      </c>
      <c r="L301"/>
    </row>
    <row r="302" spans="1:12" x14ac:dyDescent="0.35">
      <c r="A302" t="s">
        <v>37</v>
      </c>
      <c r="B302">
        <v>2009</v>
      </c>
      <c r="C302">
        <v>18</v>
      </c>
      <c r="D302">
        <v>14</v>
      </c>
      <c r="E302">
        <v>1</v>
      </c>
      <c r="F302">
        <v>30</v>
      </c>
      <c r="G302">
        <v>7</v>
      </c>
      <c r="H302">
        <v>21</v>
      </c>
      <c r="I302">
        <v>0</v>
      </c>
      <c r="J302">
        <f>SUM(C302:I302)</f>
        <v>91</v>
      </c>
      <c r="L302"/>
    </row>
    <row r="303" spans="1:12" x14ac:dyDescent="0.35">
      <c r="A303" t="s">
        <v>27</v>
      </c>
      <c r="B303">
        <v>2009</v>
      </c>
      <c r="C303">
        <v>22</v>
      </c>
      <c r="D303">
        <v>10</v>
      </c>
      <c r="E303">
        <v>0</v>
      </c>
      <c r="F303">
        <v>11</v>
      </c>
      <c r="G303">
        <v>0</v>
      </c>
      <c r="H303">
        <v>0</v>
      </c>
      <c r="I303">
        <v>0</v>
      </c>
      <c r="J303">
        <f>SUM(C303:I303)</f>
        <v>43</v>
      </c>
      <c r="L303"/>
    </row>
    <row r="304" spans="1:12" x14ac:dyDescent="0.35">
      <c r="A304" t="s">
        <v>31</v>
      </c>
      <c r="B304">
        <v>2009</v>
      </c>
      <c r="C304">
        <v>18</v>
      </c>
      <c r="D304">
        <v>6</v>
      </c>
      <c r="E304">
        <v>0</v>
      </c>
      <c r="F304">
        <v>10</v>
      </c>
      <c r="G304">
        <v>0</v>
      </c>
      <c r="H304">
        <v>6</v>
      </c>
      <c r="I304">
        <v>0</v>
      </c>
      <c r="J304">
        <f>SUM(C304:I304)</f>
        <v>40</v>
      </c>
      <c r="L304"/>
    </row>
    <row r="305" spans="1:12" x14ac:dyDescent="0.35">
      <c r="A305" t="s">
        <v>39</v>
      </c>
      <c r="B305">
        <v>2009</v>
      </c>
      <c r="C305">
        <v>4</v>
      </c>
      <c r="D305">
        <v>9</v>
      </c>
      <c r="E305">
        <v>0</v>
      </c>
      <c r="F305">
        <v>2</v>
      </c>
      <c r="G305">
        <v>1</v>
      </c>
      <c r="H305">
        <v>3</v>
      </c>
      <c r="I305">
        <v>0</v>
      </c>
      <c r="J305">
        <f>SUM(C305:I305)</f>
        <v>19</v>
      </c>
      <c r="L305"/>
    </row>
    <row r="306" spans="1:12" x14ac:dyDescent="0.35">
      <c r="A306" t="s">
        <v>40</v>
      </c>
      <c r="B306">
        <v>2009</v>
      </c>
      <c r="C306">
        <v>1</v>
      </c>
      <c r="D306">
        <v>0</v>
      </c>
      <c r="E306">
        <v>0</v>
      </c>
      <c r="F306">
        <v>4</v>
      </c>
      <c r="G306">
        <v>1</v>
      </c>
      <c r="H306">
        <v>3</v>
      </c>
      <c r="I306">
        <v>0</v>
      </c>
      <c r="J306">
        <f>SUM(C306:I306)</f>
        <v>9</v>
      </c>
      <c r="L306"/>
    </row>
    <row r="307" spans="1:12" x14ac:dyDescent="0.35">
      <c r="A307" t="s">
        <v>41</v>
      </c>
      <c r="B307">
        <v>2009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f>SUM(C307:I307)</f>
        <v>1</v>
      </c>
      <c r="L307"/>
    </row>
    <row r="308" spans="1:12" x14ac:dyDescent="0.35">
      <c r="A308" t="s">
        <v>36</v>
      </c>
      <c r="B308">
        <v>2010</v>
      </c>
      <c r="C308">
        <v>2311</v>
      </c>
      <c r="D308">
        <v>2764</v>
      </c>
      <c r="E308">
        <v>507</v>
      </c>
      <c r="F308">
        <v>2465</v>
      </c>
      <c r="G308">
        <v>163</v>
      </c>
      <c r="H308">
        <v>17796</v>
      </c>
      <c r="I308">
        <v>8</v>
      </c>
      <c r="J308">
        <f>SUM(C308:I308)</f>
        <v>26014</v>
      </c>
      <c r="L308"/>
    </row>
    <row r="309" spans="1:12" x14ac:dyDescent="0.35">
      <c r="A309" t="s">
        <v>9</v>
      </c>
      <c r="B309">
        <v>2010</v>
      </c>
      <c r="C309">
        <v>1362</v>
      </c>
      <c r="D309">
        <v>1531</v>
      </c>
      <c r="E309">
        <v>588</v>
      </c>
      <c r="F309">
        <v>4634</v>
      </c>
      <c r="G309">
        <v>4562</v>
      </c>
      <c r="H309">
        <v>12080</v>
      </c>
      <c r="I309">
        <v>0</v>
      </c>
      <c r="J309">
        <f>SUM(C309:I309)</f>
        <v>24757</v>
      </c>
      <c r="L309"/>
    </row>
    <row r="310" spans="1:12" x14ac:dyDescent="0.35">
      <c r="A310" t="s">
        <v>34</v>
      </c>
      <c r="B310">
        <v>2010</v>
      </c>
      <c r="C310">
        <v>1563</v>
      </c>
      <c r="D310">
        <v>5468</v>
      </c>
      <c r="E310">
        <v>2217</v>
      </c>
      <c r="F310">
        <v>2793</v>
      </c>
      <c r="G310">
        <v>11</v>
      </c>
      <c r="H310">
        <v>7978</v>
      </c>
      <c r="I310">
        <v>0</v>
      </c>
      <c r="J310">
        <f>SUM(C310:I310)</f>
        <v>20030</v>
      </c>
      <c r="L310"/>
    </row>
    <row r="311" spans="1:12" x14ac:dyDescent="0.35">
      <c r="A311" t="s">
        <v>30</v>
      </c>
      <c r="B311">
        <v>2010</v>
      </c>
      <c r="C311">
        <v>1571</v>
      </c>
      <c r="D311">
        <v>2477</v>
      </c>
      <c r="E311">
        <v>462</v>
      </c>
      <c r="F311">
        <v>2339</v>
      </c>
      <c r="G311">
        <v>23</v>
      </c>
      <c r="H311">
        <v>11145</v>
      </c>
      <c r="I311">
        <v>0</v>
      </c>
      <c r="J311">
        <f>SUM(C311:I311)</f>
        <v>18017</v>
      </c>
      <c r="L311"/>
    </row>
    <row r="312" spans="1:12" x14ac:dyDescent="0.35">
      <c r="A312" t="s">
        <v>22</v>
      </c>
      <c r="B312">
        <v>2010</v>
      </c>
      <c r="C312">
        <v>3135</v>
      </c>
      <c r="D312">
        <v>1030</v>
      </c>
      <c r="E312">
        <v>892</v>
      </c>
      <c r="F312">
        <v>6646</v>
      </c>
      <c r="G312">
        <v>918</v>
      </c>
      <c r="H312">
        <v>3756</v>
      </c>
      <c r="I312">
        <v>5</v>
      </c>
      <c r="J312">
        <f>SUM(C312:I312)</f>
        <v>16382</v>
      </c>
      <c r="L312"/>
    </row>
    <row r="313" spans="1:12" x14ac:dyDescent="0.35">
      <c r="A313" t="s">
        <v>23</v>
      </c>
      <c r="B313">
        <v>2010</v>
      </c>
      <c r="C313">
        <v>1599</v>
      </c>
      <c r="D313">
        <v>1124</v>
      </c>
      <c r="E313">
        <v>393</v>
      </c>
      <c r="F313">
        <v>3661</v>
      </c>
      <c r="G313">
        <v>1180</v>
      </c>
      <c r="H313">
        <v>7434</v>
      </c>
      <c r="I313">
        <v>0</v>
      </c>
      <c r="J313">
        <f>SUM(C313:I313)</f>
        <v>15391</v>
      </c>
      <c r="L313"/>
    </row>
    <row r="314" spans="1:12" x14ac:dyDescent="0.35">
      <c r="A314" t="s">
        <v>11</v>
      </c>
      <c r="B314">
        <v>2010</v>
      </c>
      <c r="C314">
        <v>1721</v>
      </c>
      <c r="D314">
        <v>2767</v>
      </c>
      <c r="E314">
        <v>175</v>
      </c>
      <c r="F314">
        <v>1400</v>
      </c>
      <c r="G314">
        <v>20</v>
      </c>
      <c r="H314">
        <v>5410</v>
      </c>
      <c r="I314">
        <v>0</v>
      </c>
      <c r="J314">
        <f>SUM(C314:I314)</f>
        <v>11493</v>
      </c>
      <c r="L314"/>
    </row>
    <row r="315" spans="1:12" x14ac:dyDescent="0.35">
      <c r="A315" t="s">
        <v>21</v>
      </c>
      <c r="B315">
        <v>2010</v>
      </c>
      <c r="C315">
        <v>634</v>
      </c>
      <c r="D315">
        <v>184</v>
      </c>
      <c r="E315">
        <v>22</v>
      </c>
      <c r="F315">
        <v>2936</v>
      </c>
      <c r="G315">
        <v>537</v>
      </c>
      <c r="H315">
        <v>4797</v>
      </c>
      <c r="I315">
        <v>0</v>
      </c>
      <c r="J315">
        <f>SUM(C315:I315)</f>
        <v>9110</v>
      </c>
      <c r="L315"/>
    </row>
    <row r="316" spans="1:12" x14ac:dyDescent="0.35">
      <c r="A316" t="s">
        <v>15</v>
      </c>
      <c r="B316">
        <v>2010</v>
      </c>
      <c r="C316">
        <v>408</v>
      </c>
      <c r="D316">
        <v>1290</v>
      </c>
      <c r="E316">
        <v>19</v>
      </c>
      <c r="F316">
        <v>668</v>
      </c>
      <c r="G316">
        <v>110</v>
      </c>
      <c r="H316">
        <v>5600</v>
      </c>
      <c r="I316">
        <v>0</v>
      </c>
      <c r="J316">
        <f>SUM(C316:I316)</f>
        <v>8095</v>
      </c>
      <c r="L316"/>
    </row>
    <row r="317" spans="1:12" x14ac:dyDescent="0.35">
      <c r="A317" t="s">
        <v>28</v>
      </c>
      <c r="B317">
        <v>2010</v>
      </c>
      <c r="C317">
        <v>1025</v>
      </c>
      <c r="D317">
        <v>912</v>
      </c>
      <c r="E317">
        <v>388</v>
      </c>
      <c r="F317">
        <v>2905</v>
      </c>
      <c r="G317">
        <v>232</v>
      </c>
      <c r="H317">
        <v>2067</v>
      </c>
      <c r="I317">
        <v>5</v>
      </c>
      <c r="J317">
        <f>SUM(C317:I317)</f>
        <v>7534</v>
      </c>
      <c r="L317"/>
    </row>
    <row r="318" spans="1:12" x14ac:dyDescent="0.35">
      <c r="A318" t="s">
        <v>20</v>
      </c>
      <c r="B318">
        <v>2010</v>
      </c>
      <c r="C318">
        <v>586</v>
      </c>
      <c r="D318">
        <v>586</v>
      </c>
      <c r="E318">
        <v>248</v>
      </c>
      <c r="F318">
        <v>2544</v>
      </c>
      <c r="G318">
        <v>83</v>
      </c>
      <c r="H318">
        <v>3441</v>
      </c>
      <c r="I318">
        <v>0</v>
      </c>
      <c r="J318">
        <f>SUM(C318:I318)</f>
        <v>7488</v>
      </c>
      <c r="L318"/>
    </row>
    <row r="319" spans="1:12" x14ac:dyDescent="0.35">
      <c r="A319" t="s">
        <v>12</v>
      </c>
      <c r="B319">
        <v>2010</v>
      </c>
      <c r="C319">
        <v>795</v>
      </c>
      <c r="D319">
        <v>2569</v>
      </c>
      <c r="E319">
        <v>1257</v>
      </c>
      <c r="F319">
        <v>534</v>
      </c>
      <c r="G319">
        <v>16</v>
      </c>
      <c r="H319">
        <v>2271</v>
      </c>
      <c r="I319">
        <v>8</v>
      </c>
      <c r="J319">
        <f>SUM(C319:I319)</f>
        <v>7450</v>
      </c>
      <c r="L319"/>
    </row>
    <row r="320" spans="1:12" x14ac:dyDescent="0.35">
      <c r="A320" t="s">
        <v>32</v>
      </c>
      <c r="B320">
        <v>2010</v>
      </c>
      <c r="C320">
        <v>686</v>
      </c>
      <c r="D320">
        <v>1464</v>
      </c>
      <c r="E320">
        <v>165</v>
      </c>
      <c r="F320">
        <v>1405</v>
      </c>
      <c r="G320">
        <v>638</v>
      </c>
      <c r="H320">
        <v>1570</v>
      </c>
      <c r="I320">
        <v>0</v>
      </c>
      <c r="J320">
        <f>SUM(C320:I320)</f>
        <v>5928</v>
      </c>
      <c r="L320"/>
    </row>
    <row r="321" spans="1:12" x14ac:dyDescent="0.35">
      <c r="A321" t="s">
        <v>16</v>
      </c>
      <c r="B321">
        <v>2010</v>
      </c>
      <c r="C321">
        <v>720</v>
      </c>
      <c r="D321">
        <v>714</v>
      </c>
      <c r="E321">
        <v>284</v>
      </c>
      <c r="F321">
        <v>476</v>
      </c>
      <c r="G321">
        <v>580</v>
      </c>
      <c r="H321">
        <v>2720</v>
      </c>
      <c r="I321">
        <v>0</v>
      </c>
      <c r="J321">
        <f>SUM(C321:I321)</f>
        <v>5494</v>
      </c>
      <c r="L321"/>
    </row>
    <row r="322" spans="1:12" x14ac:dyDescent="0.35">
      <c r="A322" t="s">
        <v>13</v>
      </c>
      <c r="B322">
        <v>2010</v>
      </c>
      <c r="C322">
        <v>1012</v>
      </c>
      <c r="D322">
        <v>279</v>
      </c>
      <c r="E322">
        <v>115</v>
      </c>
      <c r="F322">
        <v>1706</v>
      </c>
      <c r="G322">
        <v>182</v>
      </c>
      <c r="H322">
        <v>861</v>
      </c>
      <c r="I322">
        <v>2</v>
      </c>
      <c r="J322">
        <f>SUM(C322:I322)</f>
        <v>4157</v>
      </c>
      <c r="L322"/>
    </row>
    <row r="323" spans="1:12" x14ac:dyDescent="0.35">
      <c r="A323" t="s">
        <v>29</v>
      </c>
      <c r="B323">
        <v>2010</v>
      </c>
      <c r="C323">
        <v>546</v>
      </c>
      <c r="D323">
        <v>576</v>
      </c>
      <c r="E323">
        <v>121</v>
      </c>
      <c r="F323">
        <v>349</v>
      </c>
      <c r="G323">
        <v>38</v>
      </c>
      <c r="H323">
        <v>1163</v>
      </c>
      <c r="I323">
        <v>0</v>
      </c>
      <c r="J323">
        <f>SUM(C323:I323)</f>
        <v>2793</v>
      </c>
      <c r="L323"/>
    </row>
    <row r="324" spans="1:12" x14ac:dyDescent="0.35">
      <c r="A324" t="s">
        <v>19</v>
      </c>
      <c r="B324">
        <v>2010</v>
      </c>
      <c r="C324">
        <v>773</v>
      </c>
      <c r="D324">
        <v>696</v>
      </c>
      <c r="E324">
        <v>276</v>
      </c>
      <c r="F324">
        <v>245</v>
      </c>
      <c r="G324">
        <v>16</v>
      </c>
      <c r="H324">
        <v>650</v>
      </c>
      <c r="I324">
        <v>8</v>
      </c>
      <c r="J324">
        <f>SUM(C324:I324)</f>
        <v>2664</v>
      </c>
      <c r="L324"/>
    </row>
    <row r="325" spans="1:12" x14ac:dyDescent="0.35">
      <c r="A325" t="s">
        <v>18</v>
      </c>
      <c r="B325">
        <v>2010</v>
      </c>
      <c r="C325">
        <v>245</v>
      </c>
      <c r="D325">
        <v>840</v>
      </c>
      <c r="E325">
        <v>9</v>
      </c>
      <c r="F325">
        <v>1038</v>
      </c>
      <c r="G325">
        <v>262</v>
      </c>
      <c r="H325">
        <v>211</v>
      </c>
      <c r="I325">
        <v>0</v>
      </c>
      <c r="J325">
        <f>SUM(C325:I325)</f>
        <v>2605</v>
      </c>
      <c r="L325"/>
    </row>
    <row r="326" spans="1:12" x14ac:dyDescent="0.35">
      <c r="A326" t="s">
        <v>33</v>
      </c>
      <c r="B326">
        <v>2010</v>
      </c>
      <c r="C326">
        <v>238</v>
      </c>
      <c r="D326">
        <v>91</v>
      </c>
      <c r="E326">
        <v>25</v>
      </c>
      <c r="F326">
        <v>376</v>
      </c>
      <c r="G326">
        <v>9</v>
      </c>
      <c r="H326">
        <v>937</v>
      </c>
      <c r="I326">
        <v>0</v>
      </c>
      <c r="J326">
        <f>SUM(C326:I326)</f>
        <v>1676</v>
      </c>
      <c r="L326"/>
    </row>
    <row r="327" spans="1:12" x14ac:dyDescent="0.35">
      <c r="A327" t="s">
        <v>35</v>
      </c>
      <c r="B327">
        <v>2010</v>
      </c>
      <c r="C327">
        <v>121</v>
      </c>
      <c r="D327">
        <v>249</v>
      </c>
      <c r="E327">
        <v>75</v>
      </c>
      <c r="F327">
        <v>125</v>
      </c>
      <c r="G327">
        <v>165</v>
      </c>
      <c r="H327">
        <v>334</v>
      </c>
      <c r="I327">
        <v>0</v>
      </c>
      <c r="J327">
        <f>SUM(C327:I327)</f>
        <v>1069</v>
      </c>
      <c r="L327"/>
    </row>
    <row r="328" spans="1:12" x14ac:dyDescent="0.35">
      <c r="A328" t="s">
        <v>17</v>
      </c>
      <c r="B328">
        <v>2010</v>
      </c>
      <c r="C328">
        <v>160</v>
      </c>
      <c r="D328">
        <v>162</v>
      </c>
      <c r="E328">
        <v>2</v>
      </c>
      <c r="F328">
        <v>350</v>
      </c>
      <c r="G328">
        <v>78</v>
      </c>
      <c r="H328">
        <v>275</v>
      </c>
      <c r="I328">
        <v>0</v>
      </c>
      <c r="J328">
        <f>SUM(C328:I328)</f>
        <v>1027</v>
      </c>
      <c r="L328"/>
    </row>
    <row r="329" spans="1:12" x14ac:dyDescent="0.35">
      <c r="A329" t="s">
        <v>25</v>
      </c>
      <c r="B329">
        <v>2010</v>
      </c>
      <c r="C329">
        <v>149</v>
      </c>
      <c r="D329">
        <v>37</v>
      </c>
      <c r="E329">
        <v>0</v>
      </c>
      <c r="F329">
        <v>48</v>
      </c>
      <c r="G329">
        <v>0</v>
      </c>
      <c r="H329">
        <v>24</v>
      </c>
      <c r="I329">
        <v>0</v>
      </c>
      <c r="J329">
        <f>SUM(C329:I329)</f>
        <v>258</v>
      </c>
      <c r="L329"/>
    </row>
    <row r="330" spans="1:12" x14ac:dyDescent="0.35">
      <c r="A330" t="s">
        <v>10</v>
      </c>
      <c r="B330">
        <v>2010</v>
      </c>
      <c r="C330">
        <v>47</v>
      </c>
      <c r="D330">
        <v>46</v>
      </c>
      <c r="E330">
        <v>0</v>
      </c>
      <c r="F330">
        <v>84</v>
      </c>
      <c r="G330">
        <v>1</v>
      </c>
      <c r="H330">
        <v>12</v>
      </c>
      <c r="I330">
        <v>0</v>
      </c>
      <c r="J330">
        <f>SUM(C330:I330)</f>
        <v>190</v>
      </c>
      <c r="L330"/>
    </row>
    <row r="331" spans="1:12" x14ac:dyDescent="0.35">
      <c r="A331" t="s">
        <v>24</v>
      </c>
      <c r="B331">
        <v>2010</v>
      </c>
      <c r="C331">
        <v>34</v>
      </c>
      <c r="D331">
        <v>107</v>
      </c>
      <c r="E331">
        <v>0</v>
      </c>
      <c r="F331">
        <v>31</v>
      </c>
      <c r="G331">
        <v>0</v>
      </c>
      <c r="H331">
        <v>18</v>
      </c>
      <c r="I331">
        <v>0</v>
      </c>
      <c r="J331">
        <f>SUM(C331:I331)</f>
        <v>190</v>
      </c>
      <c r="L331"/>
    </row>
    <row r="332" spans="1:12" x14ac:dyDescent="0.35">
      <c r="A332" t="s">
        <v>26</v>
      </c>
      <c r="B332">
        <v>2010</v>
      </c>
      <c r="C332">
        <v>92</v>
      </c>
      <c r="D332">
        <v>0</v>
      </c>
      <c r="E332">
        <v>0</v>
      </c>
      <c r="F332">
        <v>75</v>
      </c>
      <c r="G332">
        <v>0</v>
      </c>
      <c r="H332">
        <v>3</v>
      </c>
      <c r="I332">
        <v>0</v>
      </c>
      <c r="J332">
        <f>SUM(C332:I332)</f>
        <v>170</v>
      </c>
      <c r="L332"/>
    </row>
    <row r="333" spans="1:12" x14ac:dyDescent="0.35">
      <c r="A333" t="s">
        <v>38</v>
      </c>
      <c r="B333">
        <v>2010</v>
      </c>
      <c r="C333">
        <v>31</v>
      </c>
      <c r="D333">
        <v>28</v>
      </c>
      <c r="E333">
        <v>5</v>
      </c>
      <c r="F333">
        <v>29</v>
      </c>
      <c r="G333">
        <v>4</v>
      </c>
      <c r="H333">
        <v>41</v>
      </c>
      <c r="I333">
        <v>0</v>
      </c>
      <c r="J333">
        <f>SUM(C333:I333)</f>
        <v>138</v>
      </c>
      <c r="L333"/>
    </row>
    <row r="334" spans="1:12" x14ac:dyDescent="0.35">
      <c r="A334" t="s">
        <v>14</v>
      </c>
      <c r="B334">
        <v>2010</v>
      </c>
      <c r="C334">
        <v>36</v>
      </c>
      <c r="D334">
        <v>18</v>
      </c>
      <c r="E334">
        <v>1</v>
      </c>
      <c r="F334">
        <v>36</v>
      </c>
      <c r="G334">
        <v>16</v>
      </c>
      <c r="H334">
        <v>17</v>
      </c>
      <c r="I334">
        <v>0</v>
      </c>
      <c r="J334">
        <f>SUM(C334:I334)</f>
        <v>124</v>
      </c>
      <c r="L334"/>
    </row>
    <row r="335" spans="1:12" x14ac:dyDescent="0.35">
      <c r="A335" t="s">
        <v>42</v>
      </c>
      <c r="B335">
        <v>2010</v>
      </c>
      <c r="C335">
        <v>3</v>
      </c>
      <c r="D335">
        <v>14</v>
      </c>
      <c r="E335">
        <v>1</v>
      </c>
      <c r="F335">
        <v>46</v>
      </c>
      <c r="G335">
        <v>22</v>
      </c>
      <c r="H335">
        <v>7</v>
      </c>
      <c r="I335">
        <v>0</v>
      </c>
      <c r="J335">
        <f>SUM(C335:I335)</f>
        <v>93</v>
      </c>
      <c r="L335"/>
    </row>
    <row r="336" spans="1:12" x14ac:dyDescent="0.35">
      <c r="A336" t="s">
        <v>37</v>
      </c>
      <c r="B336">
        <v>2010</v>
      </c>
      <c r="C336">
        <v>24</v>
      </c>
      <c r="D336">
        <v>8</v>
      </c>
      <c r="E336">
        <v>0</v>
      </c>
      <c r="F336">
        <v>31</v>
      </c>
      <c r="G336">
        <v>10</v>
      </c>
      <c r="H336">
        <v>9</v>
      </c>
      <c r="I336">
        <v>0</v>
      </c>
      <c r="J336">
        <f>SUM(C336:I336)</f>
        <v>82</v>
      </c>
      <c r="L336"/>
    </row>
    <row r="337" spans="1:12" x14ac:dyDescent="0.35">
      <c r="A337" t="s">
        <v>27</v>
      </c>
      <c r="B337">
        <v>2010</v>
      </c>
      <c r="C337">
        <v>16</v>
      </c>
      <c r="D337">
        <v>6</v>
      </c>
      <c r="E337">
        <v>0</v>
      </c>
      <c r="F337">
        <v>13</v>
      </c>
      <c r="G337">
        <v>3</v>
      </c>
      <c r="H337">
        <v>1</v>
      </c>
      <c r="I337">
        <v>0</v>
      </c>
      <c r="J337">
        <f>SUM(C337:I337)</f>
        <v>39</v>
      </c>
      <c r="L337"/>
    </row>
    <row r="338" spans="1:12" x14ac:dyDescent="0.35">
      <c r="A338" t="s">
        <v>31</v>
      </c>
      <c r="B338">
        <v>2010</v>
      </c>
      <c r="C338">
        <v>18</v>
      </c>
      <c r="D338">
        <v>6</v>
      </c>
      <c r="E338">
        <v>1</v>
      </c>
      <c r="F338">
        <v>11</v>
      </c>
      <c r="G338">
        <v>0</v>
      </c>
      <c r="H338">
        <v>3</v>
      </c>
      <c r="I338">
        <v>0</v>
      </c>
      <c r="J338">
        <f>SUM(C338:I338)</f>
        <v>39</v>
      </c>
      <c r="L338"/>
    </row>
    <row r="339" spans="1:12" x14ac:dyDescent="0.35">
      <c r="A339" t="s">
        <v>39</v>
      </c>
      <c r="B339">
        <v>2010</v>
      </c>
      <c r="C339">
        <v>3</v>
      </c>
      <c r="D339">
        <v>10</v>
      </c>
      <c r="E339">
        <v>0</v>
      </c>
      <c r="F339">
        <v>11</v>
      </c>
      <c r="G339">
        <v>2</v>
      </c>
      <c r="H339">
        <v>3</v>
      </c>
      <c r="I339">
        <v>0</v>
      </c>
      <c r="J339">
        <f>SUM(C339:I339)</f>
        <v>29</v>
      </c>
      <c r="L339"/>
    </row>
    <row r="340" spans="1:12" x14ac:dyDescent="0.35">
      <c r="A340" t="s">
        <v>40</v>
      </c>
      <c r="B340">
        <v>2010</v>
      </c>
      <c r="C340">
        <v>1</v>
      </c>
      <c r="D340">
        <v>2</v>
      </c>
      <c r="E340">
        <v>0</v>
      </c>
      <c r="F340">
        <v>2</v>
      </c>
      <c r="G340">
        <v>0</v>
      </c>
      <c r="H340">
        <v>3</v>
      </c>
      <c r="I340">
        <v>0</v>
      </c>
      <c r="J340">
        <f>SUM(C340:I340)</f>
        <v>8</v>
      </c>
      <c r="L340"/>
    </row>
    <row r="341" spans="1:12" x14ac:dyDescent="0.35">
      <c r="A341" t="s">
        <v>41</v>
      </c>
      <c r="B341">
        <v>2010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f>SUM(C341:I341)</f>
        <v>0</v>
      </c>
      <c r="L341"/>
    </row>
    <row r="342" spans="1:12" x14ac:dyDescent="0.35">
      <c r="A342" t="s">
        <v>71</v>
      </c>
      <c r="B342">
        <v>2011</v>
      </c>
      <c r="C342">
        <v>2363</v>
      </c>
      <c r="D342">
        <v>3711</v>
      </c>
      <c r="E342">
        <v>510</v>
      </c>
      <c r="F342">
        <v>0</v>
      </c>
      <c r="G342">
        <v>200</v>
      </c>
      <c r="H342">
        <v>19772</v>
      </c>
      <c r="I342">
        <v>96</v>
      </c>
      <c r="J342">
        <f>SUM(C342:I342)</f>
        <v>26652</v>
      </c>
      <c r="L342"/>
    </row>
    <row r="343" spans="1:12" x14ac:dyDescent="0.35">
      <c r="A343" t="s">
        <v>43</v>
      </c>
      <c r="B343">
        <v>2011</v>
      </c>
      <c r="C343">
        <v>1442</v>
      </c>
      <c r="D343">
        <v>1612</v>
      </c>
      <c r="E343">
        <v>599</v>
      </c>
      <c r="F343">
        <v>0</v>
      </c>
      <c r="G343">
        <v>3658</v>
      </c>
      <c r="H343">
        <v>13376</v>
      </c>
      <c r="I343">
        <v>497</v>
      </c>
      <c r="J343">
        <f>SUM(C343:I343)</f>
        <v>21184</v>
      </c>
      <c r="L343"/>
    </row>
    <row r="344" spans="1:12" x14ac:dyDescent="0.35">
      <c r="A344" t="s">
        <v>69</v>
      </c>
      <c r="B344">
        <v>2011</v>
      </c>
      <c r="C344">
        <v>2042</v>
      </c>
      <c r="D344">
        <v>7525</v>
      </c>
      <c r="E344">
        <v>2322</v>
      </c>
      <c r="F344">
        <v>0</v>
      </c>
      <c r="G344">
        <v>3</v>
      </c>
      <c r="H344">
        <v>7121</v>
      </c>
      <c r="I344">
        <v>43</v>
      </c>
      <c r="J344">
        <f>SUM(C344:I344)</f>
        <v>19056</v>
      </c>
      <c r="L344"/>
    </row>
    <row r="345" spans="1:12" x14ac:dyDescent="0.35">
      <c r="A345" t="s">
        <v>64</v>
      </c>
      <c r="B345">
        <v>2011</v>
      </c>
      <c r="C345">
        <v>1800</v>
      </c>
      <c r="D345">
        <v>2713</v>
      </c>
      <c r="E345">
        <v>514</v>
      </c>
      <c r="F345">
        <v>0</v>
      </c>
      <c r="G345">
        <v>9</v>
      </c>
      <c r="H345">
        <v>12218</v>
      </c>
      <c r="I345">
        <v>81</v>
      </c>
      <c r="J345">
        <f>SUM(C345:I345)</f>
        <v>17335</v>
      </c>
      <c r="L345"/>
    </row>
    <row r="346" spans="1:12" x14ac:dyDescent="0.35">
      <c r="A346" t="s">
        <v>57</v>
      </c>
      <c r="B346">
        <v>2011</v>
      </c>
      <c r="C346">
        <v>1701</v>
      </c>
      <c r="D346">
        <v>1252</v>
      </c>
      <c r="E346">
        <v>339</v>
      </c>
      <c r="F346">
        <v>0</v>
      </c>
      <c r="G346">
        <v>1071</v>
      </c>
      <c r="H346">
        <v>7136</v>
      </c>
      <c r="I346">
        <v>390</v>
      </c>
      <c r="J346">
        <f>SUM(C346:I346)</f>
        <v>11889</v>
      </c>
      <c r="L346"/>
    </row>
    <row r="347" spans="1:12" x14ac:dyDescent="0.35">
      <c r="A347" t="s">
        <v>45</v>
      </c>
      <c r="B347">
        <v>2011</v>
      </c>
      <c r="C347">
        <v>1700</v>
      </c>
      <c r="D347">
        <v>3192</v>
      </c>
      <c r="E347">
        <v>121</v>
      </c>
      <c r="F347">
        <v>0</v>
      </c>
      <c r="G347">
        <v>8</v>
      </c>
      <c r="H347">
        <v>5246</v>
      </c>
      <c r="I347">
        <v>21</v>
      </c>
      <c r="J347">
        <f>SUM(C347:I347)</f>
        <v>10288</v>
      </c>
      <c r="L347"/>
    </row>
    <row r="348" spans="1:12" x14ac:dyDescent="0.35">
      <c r="A348" t="s">
        <v>56</v>
      </c>
      <c r="B348">
        <v>2011</v>
      </c>
      <c r="C348">
        <v>3406</v>
      </c>
      <c r="D348">
        <v>1088</v>
      </c>
      <c r="E348">
        <v>811</v>
      </c>
      <c r="F348">
        <v>0</v>
      </c>
      <c r="G348">
        <v>762</v>
      </c>
      <c r="H348">
        <v>3732</v>
      </c>
      <c r="I348">
        <v>24</v>
      </c>
      <c r="J348">
        <f>SUM(C348:I348)</f>
        <v>9823</v>
      </c>
      <c r="L348"/>
    </row>
    <row r="349" spans="1:12" x14ac:dyDescent="0.35">
      <c r="A349" t="s">
        <v>49</v>
      </c>
      <c r="B349">
        <v>2011</v>
      </c>
      <c r="C349">
        <v>439</v>
      </c>
      <c r="D349">
        <v>1442</v>
      </c>
      <c r="E349">
        <v>30</v>
      </c>
      <c r="F349">
        <v>0</v>
      </c>
      <c r="G349">
        <v>93</v>
      </c>
      <c r="H349">
        <v>6052</v>
      </c>
      <c r="I349">
        <v>46</v>
      </c>
      <c r="J349">
        <f>SUM(C349:I349)</f>
        <v>8102</v>
      </c>
      <c r="L349"/>
    </row>
    <row r="350" spans="1:12" x14ac:dyDescent="0.35">
      <c r="A350" t="s">
        <v>46</v>
      </c>
      <c r="B350">
        <v>2011</v>
      </c>
      <c r="C350">
        <v>934</v>
      </c>
      <c r="D350">
        <v>3050</v>
      </c>
      <c r="E350">
        <v>1413</v>
      </c>
      <c r="F350">
        <v>0</v>
      </c>
      <c r="G350">
        <v>11</v>
      </c>
      <c r="H350">
        <v>2607</v>
      </c>
      <c r="I350">
        <v>23</v>
      </c>
      <c r="J350">
        <f>SUM(C350:I350)</f>
        <v>8038</v>
      </c>
      <c r="L350"/>
    </row>
    <row r="351" spans="1:12" x14ac:dyDescent="0.35">
      <c r="A351" t="s">
        <v>55</v>
      </c>
      <c r="B351">
        <v>2011</v>
      </c>
      <c r="C351">
        <v>1132</v>
      </c>
      <c r="D351">
        <v>221</v>
      </c>
      <c r="E351">
        <v>15</v>
      </c>
      <c r="F351">
        <v>0</v>
      </c>
      <c r="G351">
        <v>573</v>
      </c>
      <c r="H351">
        <v>5377</v>
      </c>
      <c r="I351">
        <v>197</v>
      </c>
      <c r="J351">
        <f>SUM(C351:I351)</f>
        <v>7515</v>
      </c>
      <c r="L351"/>
    </row>
    <row r="352" spans="1:12" x14ac:dyDescent="0.35">
      <c r="A352" t="s">
        <v>54</v>
      </c>
      <c r="B352">
        <v>2011</v>
      </c>
      <c r="C352">
        <v>636</v>
      </c>
      <c r="D352">
        <v>715</v>
      </c>
      <c r="E352">
        <v>267</v>
      </c>
      <c r="F352">
        <v>0</v>
      </c>
      <c r="G352">
        <v>81</v>
      </c>
      <c r="H352">
        <v>3712</v>
      </c>
      <c r="I352">
        <v>351</v>
      </c>
      <c r="J352">
        <f>SUM(C352:I352)</f>
        <v>5762</v>
      </c>
      <c r="L352"/>
    </row>
    <row r="353" spans="1:12" x14ac:dyDescent="0.35">
      <c r="A353" t="s">
        <v>66</v>
      </c>
      <c r="B353">
        <v>2011</v>
      </c>
      <c r="C353">
        <v>677</v>
      </c>
      <c r="D353">
        <v>1743</v>
      </c>
      <c r="E353">
        <v>152</v>
      </c>
      <c r="F353">
        <v>0</v>
      </c>
      <c r="G353">
        <v>464</v>
      </c>
      <c r="H353">
        <v>1812</v>
      </c>
      <c r="I353">
        <v>420</v>
      </c>
      <c r="J353">
        <f>SUM(C353:I353)</f>
        <v>5268</v>
      </c>
      <c r="L353"/>
    </row>
    <row r="354" spans="1:12" x14ac:dyDescent="0.35">
      <c r="A354" t="s">
        <v>62</v>
      </c>
      <c r="B354">
        <v>2011</v>
      </c>
      <c r="C354">
        <v>1112</v>
      </c>
      <c r="D354">
        <v>1008</v>
      </c>
      <c r="E354">
        <v>465</v>
      </c>
      <c r="F354">
        <v>0</v>
      </c>
      <c r="G354">
        <v>235</v>
      </c>
      <c r="H354">
        <v>2320</v>
      </c>
      <c r="I354">
        <v>23</v>
      </c>
      <c r="J354">
        <f>SUM(C354:I354)</f>
        <v>5163</v>
      </c>
      <c r="L354"/>
    </row>
    <row r="355" spans="1:12" x14ac:dyDescent="0.35">
      <c r="A355" t="s">
        <v>50</v>
      </c>
      <c r="B355">
        <v>2011</v>
      </c>
      <c r="C355">
        <v>733</v>
      </c>
      <c r="D355">
        <v>733</v>
      </c>
      <c r="E355">
        <v>255</v>
      </c>
      <c r="F355">
        <v>0</v>
      </c>
      <c r="G355">
        <v>490</v>
      </c>
      <c r="H355">
        <v>2740</v>
      </c>
      <c r="I355">
        <v>57</v>
      </c>
      <c r="J355">
        <f>SUM(C355:I355)</f>
        <v>5008</v>
      </c>
      <c r="L355"/>
    </row>
    <row r="356" spans="1:12" x14ac:dyDescent="0.35">
      <c r="A356" t="s">
        <v>76</v>
      </c>
      <c r="B356">
        <v>2011</v>
      </c>
      <c r="C356">
        <v>572</v>
      </c>
      <c r="D356">
        <v>2085</v>
      </c>
      <c r="E356">
        <v>142</v>
      </c>
      <c r="F356">
        <v>0</v>
      </c>
      <c r="G356">
        <v>162</v>
      </c>
      <c r="H356">
        <v>1575</v>
      </c>
      <c r="I356">
        <v>33</v>
      </c>
      <c r="J356">
        <f>SUM(C356:I356)</f>
        <v>4569</v>
      </c>
      <c r="L356"/>
    </row>
    <row r="357" spans="1:12" x14ac:dyDescent="0.35">
      <c r="A357" t="s">
        <v>47</v>
      </c>
      <c r="B357">
        <v>2011</v>
      </c>
      <c r="C357">
        <v>1053</v>
      </c>
      <c r="D357">
        <v>365</v>
      </c>
      <c r="E357">
        <v>104</v>
      </c>
      <c r="F357">
        <v>0</v>
      </c>
      <c r="G357">
        <v>174</v>
      </c>
      <c r="H357">
        <v>834</v>
      </c>
      <c r="I357">
        <v>15</v>
      </c>
      <c r="J357">
        <f>SUM(C357:I357)</f>
        <v>2545</v>
      </c>
      <c r="L357"/>
    </row>
    <row r="358" spans="1:12" x14ac:dyDescent="0.35">
      <c r="A358" t="s">
        <v>53</v>
      </c>
      <c r="B358">
        <v>2011</v>
      </c>
      <c r="C358">
        <v>784</v>
      </c>
      <c r="D358">
        <v>660</v>
      </c>
      <c r="E358">
        <v>282</v>
      </c>
      <c r="F358">
        <v>0</v>
      </c>
      <c r="G358">
        <v>7</v>
      </c>
      <c r="H358">
        <v>659</v>
      </c>
      <c r="I358">
        <v>15</v>
      </c>
      <c r="J358">
        <f>SUM(C358:I358)</f>
        <v>2407</v>
      </c>
      <c r="L358"/>
    </row>
    <row r="359" spans="1:12" x14ac:dyDescent="0.35">
      <c r="A359" t="s">
        <v>63</v>
      </c>
      <c r="B359">
        <v>2011</v>
      </c>
      <c r="C359">
        <v>479</v>
      </c>
      <c r="D359">
        <v>517</v>
      </c>
      <c r="E359">
        <v>143</v>
      </c>
      <c r="F359">
        <v>0</v>
      </c>
      <c r="G359">
        <v>31</v>
      </c>
      <c r="H359">
        <v>1136</v>
      </c>
      <c r="I359">
        <v>50</v>
      </c>
      <c r="J359">
        <f>SUM(C359:I359)</f>
        <v>2356</v>
      </c>
      <c r="L359"/>
    </row>
    <row r="360" spans="1:12" x14ac:dyDescent="0.35">
      <c r="A360" t="s">
        <v>52</v>
      </c>
      <c r="B360">
        <v>2011</v>
      </c>
      <c r="C360">
        <v>277</v>
      </c>
      <c r="D360">
        <v>1023</v>
      </c>
      <c r="E360">
        <v>11</v>
      </c>
      <c r="F360">
        <v>0</v>
      </c>
      <c r="G360">
        <v>350</v>
      </c>
      <c r="H360">
        <v>286</v>
      </c>
      <c r="I360">
        <v>1</v>
      </c>
      <c r="J360">
        <f>SUM(C360:I360)</f>
        <v>1948</v>
      </c>
      <c r="L360"/>
    </row>
    <row r="361" spans="1:12" x14ac:dyDescent="0.35">
      <c r="A361" t="s">
        <v>68</v>
      </c>
      <c r="B361">
        <v>2011</v>
      </c>
      <c r="C361">
        <v>205</v>
      </c>
      <c r="D361">
        <v>116</v>
      </c>
      <c r="E361">
        <v>30</v>
      </c>
      <c r="F361">
        <v>0</v>
      </c>
      <c r="G361">
        <v>9</v>
      </c>
      <c r="H361">
        <v>702</v>
      </c>
      <c r="I361">
        <v>2</v>
      </c>
      <c r="J361">
        <f>SUM(C361:I361)</f>
        <v>1064</v>
      </c>
      <c r="L361"/>
    </row>
    <row r="362" spans="1:12" x14ac:dyDescent="0.35">
      <c r="A362" t="s">
        <v>70</v>
      </c>
      <c r="B362">
        <v>2011</v>
      </c>
      <c r="C362">
        <v>129</v>
      </c>
      <c r="D362">
        <v>283</v>
      </c>
      <c r="E362">
        <v>83</v>
      </c>
      <c r="F362">
        <v>0</v>
      </c>
      <c r="G362">
        <v>72</v>
      </c>
      <c r="H362">
        <v>307</v>
      </c>
      <c r="I362">
        <v>3</v>
      </c>
      <c r="J362">
        <f>SUM(C362:I362)</f>
        <v>877</v>
      </c>
      <c r="L362"/>
    </row>
    <row r="363" spans="1:12" x14ac:dyDescent="0.35">
      <c r="A363" t="s">
        <v>51</v>
      </c>
      <c r="B363">
        <v>2011</v>
      </c>
      <c r="C363">
        <v>168</v>
      </c>
      <c r="D363">
        <v>191</v>
      </c>
      <c r="E363">
        <v>4</v>
      </c>
      <c r="F363">
        <v>0</v>
      </c>
      <c r="G363">
        <v>62</v>
      </c>
      <c r="H363">
        <v>239</v>
      </c>
      <c r="I363">
        <v>2</v>
      </c>
      <c r="J363">
        <f>SUM(C363:I363)</f>
        <v>666</v>
      </c>
      <c r="L363"/>
    </row>
    <row r="364" spans="1:12" x14ac:dyDescent="0.35">
      <c r="A364" t="s">
        <v>58</v>
      </c>
      <c r="B364">
        <v>2011</v>
      </c>
      <c r="C364">
        <v>53</v>
      </c>
      <c r="D364">
        <v>116</v>
      </c>
      <c r="E364">
        <v>1</v>
      </c>
      <c r="F364">
        <v>0</v>
      </c>
      <c r="G364">
        <v>0</v>
      </c>
      <c r="H364">
        <v>39</v>
      </c>
      <c r="I364">
        <v>0</v>
      </c>
      <c r="J364">
        <f>SUM(C364:I364)</f>
        <v>209</v>
      </c>
      <c r="L364"/>
    </row>
    <row r="365" spans="1:12" x14ac:dyDescent="0.35">
      <c r="A365" t="s">
        <v>59</v>
      </c>
      <c r="B365">
        <v>2011</v>
      </c>
      <c r="C365">
        <v>130</v>
      </c>
      <c r="D365">
        <v>37</v>
      </c>
      <c r="E365">
        <v>1</v>
      </c>
      <c r="F365">
        <v>0</v>
      </c>
      <c r="G365">
        <v>1</v>
      </c>
      <c r="H365">
        <v>21</v>
      </c>
      <c r="I365">
        <v>2</v>
      </c>
      <c r="J365">
        <f>SUM(C365:I365)</f>
        <v>192</v>
      </c>
      <c r="L365"/>
    </row>
    <row r="366" spans="1:12" x14ac:dyDescent="0.35">
      <c r="A366" t="s">
        <v>73</v>
      </c>
      <c r="B366">
        <v>2011</v>
      </c>
      <c r="C366">
        <v>27</v>
      </c>
      <c r="D366">
        <v>46</v>
      </c>
      <c r="E366">
        <v>2</v>
      </c>
      <c r="F366">
        <v>0</v>
      </c>
      <c r="G366">
        <v>12</v>
      </c>
      <c r="H366">
        <v>46</v>
      </c>
      <c r="I366">
        <v>1</v>
      </c>
      <c r="J366">
        <f>SUM(C366:I366)</f>
        <v>134</v>
      </c>
      <c r="L366"/>
    </row>
    <row r="367" spans="1:12" x14ac:dyDescent="0.35">
      <c r="A367" t="s">
        <v>44</v>
      </c>
      <c r="B367">
        <v>2011</v>
      </c>
      <c r="C367">
        <v>42</v>
      </c>
      <c r="D367">
        <v>60</v>
      </c>
      <c r="E367">
        <v>0</v>
      </c>
      <c r="F367">
        <v>0</v>
      </c>
      <c r="G367">
        <v>0</v>
      </c>
      <c r="H367">
        <v>18</v>
      </c>
      <c r="I367">
        <v>0</v>
      </c>
      <c r="J367">
        <f>SUM(C367:I367)</f>
        <v>120</v>
      </c>
      <c r="L367"/>
    </row>
    <row r="368" spans="1:12" x14ac:dyDescent="0.35">
      <c r="A368" t="s">
        <v>48</v>
      </c>
      <c r="B368">
        <v>2011</v>
      </c>
      <c r="C368">
        <v>29</v>
      </c>
      <c r="D368">
        <v>17</v>
      </c>
      <c r="E368">
        <v>1</v>
      </c>
      <c r="F368">
        <v>0</v>
      </c>
      <c r="G368">
        <v>12</v>
      </c>
      <c r="H368">
        <v>18</v>
      </c>
      <c r="I368">
        <v>18</v>
      </c>
      <c r="J368">
        <f>SUM(C368:I368)</f>
        <v>95</v>
      </c>
      <c r="L368"/>
    </row>
    <row r="369" spans="1:12" x14ac:dyDescent="0.35">
      <c r="A369" t="s">
        <v>60</v>
      </c>
      <c r="B369">
        <v>2011</v>
      </c>
      <c r="C369">
        <v>77</v>
      </c>
      <c r="D369">
        <v>0</v>
      </c>
      <c r="E369">
        <v>0</v>
      </c>
      <c r="F369">
        <v>0</v>
      </c>
      <c r="G369">
        <v>1</v>
      </c>
      <c r="H369">
        <v>9</v>
      </c>
      <c r="I369">
        <v>8</v>
      </c>
      <c r="J369">
        <f>SUM(C369:I369)</f>
        <v>95</v>
      </c>
      <c r="L369"/>
    </row>
    <row r="370" spans="1:12" x14ac:dyDescent="0.35">
      <c r="A370" t="s">
        <v>78</v>
      </c>
      <c r="B370">
        <v>2011</v>
      </c>
      <c r="C370">
        <v>7</v>
      </c>
      <c r="D370">
        <v>9</v>
      </c>
      <c r="E370">
        <v>1</v>
      </c>
      <c r="F370">
        <v>0</v>
      </c>
      <c r="G370">
        <v>16</v>
      </c>
      <c r="H370">
        <v>10</v>
      </c>
      <c r="I370">
        <v>3</v>
      </c>
      <c r="J370">
        <f>SUM(C370:I370)</f>
        <v>46</v>
      </c>
      <c r="L370"/>
    </row>
    <row r="371" spans="1:12" x14ac:dyDescent="0.35">
      <c r="A371" t="s">
        <v>72</v>
      </c>
      <c r="B371">
        <v>2011</v>
      </c>
      <c r="C371">
        <v>13</v>
      </c>
      <c r="D371">
        <v>12</v>
      </c>
      <c r="E371">
        <v>0</v>
      </c>
      <c r="F371">
        <v>0</v>
      </c>
      <c r="G371">
        <v>3</v>
      </c>
      <c r="H371">
        <v>5</v>
      </c>
      <c r="I371">
        <v>3</v>
      </c>
      <c r="J371">
        <f>SUM(C371:I371)</f>
        <v>36</v>
      </c>
      <c r="L371"/>
    </row>
    <row r="372" spans="1:12" x14ac:dyDescent="0.35">
      <c r="A372" t="s">
        <v>65</v>
      </c>
      <c r="B372">
        <v>2011</v>
      </c>
      <c r="C372">
        <v>16</v>
      </c>
      <c r="D372">
        <v>10</v>
      </c>
      <c r="E372">
        <v>0</v>
      </c>
      <c r="F372">
        <v>0</v>
      </c>
      <c r="G372">
        <v>0</v>
      </c>
      <c r="H372">
        <v>4</v>
      </c>
      <c r="I372">
        <v>1</v>
      </c>
      <c r="J372">
        <f>SUM(C372:I372)</f>
        <v>31</v>
      </c>
      <c r="L372"/>
    </row>
    <row r="373" spans="1:12" x14ac:dyDescent="0.35">
      <c r="A373" t="s">
        <v>61</v>
      </c>
      <c r="B373">
        <v>2011</v>
      </c>
      <c r="C373">
        <v>23</v>
      </c>
      <c r="D373">
        <v>3</v>
      </c>
      <c r="E373">
        <v>0</v>
      </c>
      <c r="F373">
        <v>0</v>
      </c>
      <c r="G373">
        <v>0</v>
      </c>
      <c r="H373">
        <v>1</v>
      </c>
      <c r="I373">
        <v>2</v>
      </c>
      <c r="J373">
        <f>SUM(C373:I373)</f>
        <v>29</v>
      </c>
      <c r="L373"/>
    </row>
    <row r="374" spans="1:12" x14ac:dyDescent="0.35">
      <c r="A374" t="s">
        <v>74</v>
      </c>
      <c r="B374">
        <v>2011</v>
      </c>
      <c r="C374">
        <v>4</v>
      </c>
      <c r="D374">
        <v>8</v>
      </c>
      <c r="E374">
        <v>0</v>
      </c>
      <c r="F374">
        <v>0</v>
      </c>
      <c r="G374">
        <v>0</v>
      </c>
      <c r="H374">
        <v>3</v>
      </c>
      <c r="I374">
        <v>1</v>
      </c>
      <c r="J374">
        <f>SUM(C374:I374)</f>
        <v>16</v>
      </c>
      <c r="L374"/>
    </row>
    <row r="375" spans="1:12" x14ac:dyDescent="0.35">
      <c r="A375" t="s">
        <v>75</v>
      </c>
      <c r="B375">
        <v>2011</v>
      </c>
      <c r="C375">
        <v>1</v>
      </c>
      <c r="D375">
        <v>2</v>
      </c>
      <c r="E375">
        <v>0</v>
      </c>
      <c r="F375">
        <v>0</v>
      </c>
      <c r="G375">
        <v>0</v>
      </c>
      <c r="H375">
        <v>2</v>
      </c>
      <c r="I375">
        <v>6</v>
      </c>
      <c r="J375">
        <f>SUM(C375:I375)</f>
        <v>11</v>
      </c>
      <c r="L375"/>
    </row>
    <row r="376" spans="1:12" x14ac:dyDescent="0.35">
      <c r="A376" t="s">
        <v>67</v>
      </c>
      <c r="B376">
        <v>2011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f>SUM(C376:I376)</f>
        <v>0</v>
      </c>
      <c r="L376"/>
    </row>
    <row r="377" spans="1:12" x14ac:dyDescent="0.35">
      <c r="A377" t="s">
        <v>77</v>
      </c>
      <c r="B377">
        <v>2011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f>SUM(C377:I377)</f>
        <v>0</v>
      </c>
      <c r="L377"/>
    </row>
    <row r="378" spans="1:12" x14ac:dyDescent="0.35">
      <c r="A378" t="s">
        <v>71</v>
      </c>
      <c r="B378">
        <v>2012</v>
      </c>
      <c r="C378">
        <v>2046</v>
      </c>
      <c r="D378">
        <v>4168</v>
      </c>
      <c r="E378">
        <v>593</v>
      </c>
      <c r="F378">
        <v>3345</v>
      </c>
      <c r="G378">
        <v>556</v>
      </c>
      <c r="H378">
        <v>19865</v>
      </c>
      <c r="I378">
        <v>109</v>
      </c>
      <c r="J378">
        <f>SUM(C378:I378)</f>
        <v>30682</v>
      </c>
      <c r="L378"/>
    </row>
    <row r="379" spans="1:12" x14ac:dyDescent="0.35">
      <c r="A379" t="s">
        <v>43</v>
      </c>
      <c r="B379">
        <v>2012</v>
      </c>
      <c r="C379">
        <v>1341</v>
      </c>
      <c r="D379">
        <v>1403</v>
      </c>
      <c r="E379">
        <v>504</v>
      </c>
      <c r="F379">
        <v>4816</v>
      </c>
      <c r="G379">
        <v>3714</v>
      </c>
      <c r="H379">
        <v>13389</v>
      </c>
      <c r="I379">
        <v>472</v>
      </c>
      <c r="J379">
        <f>SUM(C379:I379)</f>
        <v>25639</v>
      </c>
      <c r="L379"/>
    </row>
    <row r="380" spans="1:12" x14ac:dyDescent="0.35">
      <c r="A380" t="s">
        <v>69</v>
      </c>
      <c r="B380">
        <v>2012</v>
      </c>
      <c r="C380">
        <v>1963</v>
      </c>
      <c r="D380">
        <v>7910</v>
      </c>
      <c r="E380">
        <v>2244</v>
      </c>
      <c r="F380">
        <v>3247</v>
      </c>
      <c r="G380">
        <v>8</v>
      </c>
      <c r="H380">
        <v>7661</v>
      </c>
      <c r="I380">
        <v>31</v>
      </c>
      <c r="J380">
        <f>SUM(C380:I380)</f>
        <v>23064</v>
      </c>
      <c r="L380"/>
    </row>
    <row r="381" spans="1:12" x14ac:dyDescent="0.35">
      <c r="A381" t="s">
        <v>64</v>
      </c>
      <c r="B381">
        <v>2012</v>
      </c>
      <c r="C381">
        <v>2049</v>
      </c>
      <c r="D381">
        <v>2697</v>
      </c>
      <c r="E381">
        <v>478</v>
      </c>
      <c r="F381">
        <v>2352</v>
      </c>
      <c r="G381">
        <v>18</v>
      </c>
      <c r="H381">
        <v>13312</v>
      </c>
      <c r="I381">
        <v>99</v>
      </c>
      <c r="J381">
        <f>SUM(C381:I381)</f>
        <v>21005</v>
      </c>
      <c r="L381"/>
    </row>
    <row r="382" spans="1:12" x14ac:dyDescent="0.35">
      <c r="A382" t="s">
        <v>56</v>
      </c>
      <c r="B382">
        <v>2012</v>
      </c>
      <c r="C382">
        <v>3425</v>
      </c>
      <c r="D382">
        <v>1127</v>
      </c>
      <c r="E382">
        <v>743</v>
      </c>
      <c r="F382">
        <v>6655</v>
      </c>
      <c r="G382">
        <v>774</v>
      </c>
      <c r="H382">
        <v>3988</v>
      </c>
      <c r="I382">
        <v>13</v>
      </c>
      <c r="J382">
        <f>SUM(C382:I382)</f>
        <v>16725</v>
      </c>
      <c r="L382"/>
    </row>
    <row r="383" spans="1:12" x14ac:dyDescent="0.35">
      <c r="A383" t="s">
        <v>57</v>
      </c>
      <c r="B383">
        <v>2012</v>
      </c>
      <c r="C383">
        <v>1839</v>
      </c>
      <c r="D383">
        <v>1140</v>
      </c>
      <c r="E383">
        <v>329</v>
      </c>
      <c r="F383">
        <v>3935</v>
      </c>
      <c r="G383">
        <v>1294</v>
      </c>
      <c r="H383">
        <v>7415</v>
      </c>
      <c r="I383">
        <v>366</v>
      </c>
      <c r="J383">
        <f>SUM(C383:I383)</f>
        <v>16318</v>
      </c>
      <c r="L383"/>
    </row>
    <row r="384" spans="1:12" x14ac:dyDescent="0.35">
      <c r="A384" t="s">
        <v>45</v>
      </c>
      <c r="B384">
        <v>2012</v>
      </c>
      <c r="C384">
        <v>1716</v>
      </c>
      <c r="D384">
        <v>3360</v>
      </c>
      <c r="E384">
        <v>140</v>
      </c>
      <c r="F384">
        <v>1840</v>
      </c>
      <c r="G384">
        <v>5</v>
      </c>
      <c r="H384">
        <v>6407</v>
      </c>
      <c r="I384">
        <v>30</v>
      </c>
      <c r="J384">
        <f>SUM(C384:I384)</f>
        <v>13498</v>
      </c>
      <c r="L384"/>
    </row>
    <row r="385" spans="1:12" x14ac:dyDescent="0.35">
      <c r="A385" t="s">
        <v>55</v>
      </c>
      <c r="B385">
        <v>2012</v>
      </c>
      <c r="C385">
        <v>1019</v>
      </c>
      <c r="D385">
        <v>214</v>
      </c>
      <c r="E385">
        <v>32</v>
      </c>
      <c r="F385">
        <v>3735</v>
      </c>
      <c r="G385">
        <v>498</v>
      </c>
      <c r="H385">
        <v>5216</v>
      </c>
      <c r="I385">
        <v>210</v>
      </c>
      <c r="J385">
        <f>SUM(C385:I385)</f>
        <v>10924</v>
      </c>
      <c r="L385"/>
    </row>
    <row r="386" spans="1:12" x14ac:dyDescent="0.35">
      <c r="A386" t="s">
        <v>62</v>
      </c>
      <c r="B386">
        <v>2012</v>
      </c>
      <c r="C386">
        <v>1458</v>
      </c>
      <c r="D386">
        <v>1364</v>
      </c>
      <c r="E386">
        <v>525</v>
      </c>
      <c r="F386">
        <v>4187</v>
      </c>
      <c r="G386">
        <v>304</v>
      </c>
      <c r="H386">
        <v>2638</v>
      </c>
      <c r="I386">
        <v>24</v>
      </c>
      <c r="J386">
        <f>SUM(C386:I386)</f>
        <v>10500</v>
      </c>
      <c r="L386"/>
    </row>
    <row r="387" spans="1:12" x14ac:dyDescent="0.35">
      <c r="A387" t="s">
        <v>46</v>
      </c>
      <c r="B387">
        <v>2012</v>
      </c>
      <c r="C387">
        <v>927</v>
      </c>
      <c r="D387">
        <v>3789</v>
      </c>
      <c r="E387">
        <v>1275</v>
      </c>
      <c r="F387">
        <v>118</v>
      </c>
      <c r="G387">
        <v>37</v>
      </c>
      <c r="H387">
        <v>3686</v>
      </c>
      <c r="I387">
        <v>35</v>
      </c>
      <c r="J387">
        <f>SUM(C387:I387)</f>
        <v>9867</v>
      </c>
      <c r="L387"/>
    </row>
    <row r="388" spans="1:12" x14ac:dyDescent="0.35">
      <c r="A388" t="s">
        <v>49</v>
      </c>
      <c r="B388">
        <v>2012</v>
      </c>
      <c r="C388">
        <v>473</v>
      </c>
      <c r="D388">
        <v>1527</v>
      </c>
      <c r="E388">
        <v>21</v>
      </c>
      <c r="F388">
        <v>745</v>
      </c>
      <c r="G388">
        <v>93</v>
      </c>
      <c r="H388">
        <v>6658</v>
      </c>
      <c r="I388">
        <v>44</v>
      </c>
      <c r="J388">
        <f>SUM(C388:I388)</f>
        <v>9561</v>
      </c>
      <c r="L388"/>
    </row>
    <row r="389" spans="1:12" x14ac:dyDescent="0.35">
      <c r="A389" t="s">
        <v>54</v>
      </c>
      <c r="B389">
        <v>2012</v>
      </c>
      <c r="C389">
        <v>621</v>
      </c>
      <c r="D389">
        <v>1070</v>
      </c>
      <c r="E389">
        <v>218</v>
      </c>
      <c r="F389">
        <v>2978</v>
      </c>
      <c r="G389">
        <v>100</v>
      </c>
      <c r="H389">
        <v>3684</v>
      </c>
      <c r="I389">
        <v>335</v>
      </c>
      <c r="J389">
        <f>SUM(C389:I389)</f>
        <v>9006</v>
      </c>
      <c r="L389"/>
    </row>
    <row r="390" spans="1:12" x14ac:dyDescent="0.35">
      <c r="A390" t="s">
        <v>66</v>
      </c>
      <c r="B390">
        <v>2012</v>
      </c>
      <c r="C390">
        <v>737</v>
      </c>
      <c r="D390">
        <v>1693</v>
      </c>
      <c r="E390">
        <v>110</v>
      </c>
      <c r="F390">
        <v>1494</v>
      </c>
      <c r="G390">
        <v>382</v>
      </c>
      <c r="H390">
        <v>1965</v>
      </c>
      <c r="I390">
        <v>500</v>
      </c>
      <c r="J390">
        <f>SUM(C390:I390)</f>
        <v>6881</v>
      </c>
      <c r="L390"/>
    </row>
    <row r="391" spans="1:12" x14ac:dyDescent="0.35">
      <c r="A391" t="s">
        <v>50</v>
      </c>
      <c r="B391">
        <v>2012</v>
      </c>
      <c r="C391">
        <v>668</v>
      </c>
      <c r="D391">
        <v>900</v>
      </c>
      <c r="E391">
        <v>258</v>
      </c>
      <c r="F391">
        <v>525</v>
      </c>
      <c r="G391">
        <v>434</v>
      </c>
      <c r="H391">
        <v>3137</v>
      </c>
      <c r="I391">
        <v>69</v>
      </c>
      <c r="J391">
        <f>SUM(C391:I391)</f>
        <v>5991</v>
      </c>
      <c r="L391"/>
    </row>
    <row r="392" spans="1:12" x14ac:dyDescent="0.35">
      <c r="A392" t="s">
        <v>76</v>
      </c>
      <c r="B392">
        <v>2012</v>
      </c>
      <c r="C392">
        <v>706</v>
      </c>
      <c r="D392">
        <v>2160</v>
      </c>
      <c r="E392">
        <v>134</v>
      </c>
      <c r="F392">
        <v>727</v>
      </c>
      <c r="G392">
        <v>208</v>
      </c>
      <c r="H392">
        <v>1985</v>
      </c>
      <c r="I392">
        <v>24</v>
      </c>
      <c r="J392">
        <f>SUM(C392:I392)</f>
        <v>5944</v>
      </c>
      <c r="L392"/>
    </row>
    <row r="393" spans="1:12" x14ac:dyDescent="0.35">
      <c r="A393" t="s">
        <v>47</v>
      </c>
      <c r="B393">
        <v>2012</v>
      </c>
      <c r="C393">
        <v>1034</v>
      </c>
      <c r="D393">
        <v>350</v>
      </c>
      <c r="E393">
        <v>81</v>
      </c>
      <c r="F393">
        <v>1601</v>
      </c>
      <c r="G393">
        <v>162</v>
      </c>
      <c r="H393">
        <v>980</v>
      </c>
      <c r="I393">
        <v>5</v>
      </c>
      <c r="J393">
        <f>SUM(C393:I393)</f>
        <v>4213</v>
      </c>
      <c r="L393"/>
    </row>
    <row r="394" spans="1:12" x14ac:dyDescent="0.35">
      <c r="A394" t="s">
        <v>53</v>
      </c>
      <c r="B394">
        <v>2012</v>
      </c>
      <c r="C394">
        <v>812</v>
      </c>
      <c r="D394">
        <v>786</v>
      </c>
      <c r="E394">
        <v>302</v>
      </c>
      <c r="F394">
        <v>284</v>
      </c>
      <c r="G394">
        <v>10</v>
      </c>
      <c r="H394">
        <v>1261</v>
      </c>
      <c r="I394">
        <v>12</v>
      </c>
      <c r="J394">
        <f>SUM(C394:I394)</f>
        <v>3467</v>
      </c>
      <c r="L394"/>
    </row>
    <row r="395" spans="1:12" x14ac:dyDescent="0.35">
      <c r="A395" t="s">
        <v>52</v>
      </c>
      <c r="B395">
        <v>2012</v>
      </c>
      <c r="C395">
        <v>303</v>
      </c>
      <c r="D395">
        <v>1041</v>
      </c>
      <c r="E395">
        <v>8</v>
      </c>
      <c r="F395">
        <v>1322</v>
      </c>
      <c r="G395">
        <v>347</v>
      </c>
      <c r="H395">
        <v>301</v>
      </c>
      <c r="I395">
        <v>3</v>
      </c>
      <c r="J395">
        <f>SUM(C395:I395)</f>
        <v>3325</v>
      </c>
      <c r="L395"/>
    </row>
    <row r="396" spans="1:12" x14ac:dyDescent="0.35">
      <c r="A396" t="s">
        <v>63</v>
      </c>
      <c r="B396">
        <v>2012</v>
      </c>
      <c r="C396">
        <v>680</v>
      </c>
      <c r="D396">
        <v>689</v>
      </c>
      <c r="E396">
        <v>118</v>
      </c>
      <c r="F396">
        <v>340</v>
      </c>
      <c r="G396">
        <v>31</v>
      </c>
      <c r="H396">
        <v>1293</v>
      </c>
      <c r="I396">
        <v>86</v>
      </c>
      <c r="J396">
        <f>SUM(C396:I396)</f>
        <v>3237</v>
      </c>
      <c r="L396"/>
    </row>
    <row r="397" spans="1:12" x14ac:dyDescent="0.35">
      <c r="A397" t="s">
        <v>68</v>
      </c>
      <c r="B397">
        <v>2012</v>
      </c>
      <c r="C397">
        <v>229</v>
      </c>
      <c r="D397">
        <v>114</v>
      </c>
      <c r="E397">
        <v>37</v>
      </c>
      <c r="F397">
        <v>314</v>
      </c>
      <c r="G397">
        <v>7</v>
      </c>
      <c r="H397">
        <v>858</v>
      </c>
      <c r="I397">
        <v>0</v>
      </c>
      <c r="J397">
        <f>SUM(C397:I397)</f>
        <v>1559</v>
      </c>
      <c r="L397"/>
    </row>
    <row r="398" spans="1:12" x14ac:dyDescent="0.35">
      <c r="A398" t="s">
        <v>70</v>
      </c>
      <c r="B398">
        <v>2012</v>
      </c>
      <c r="C398">
        <v>148</v>
      </c>
      <c r="D398">
        <v>256</v>
      </c>
      <c r="E398">
        <v>71</v>
      </c>
      <c r="F398">
        <v>139</v>
      </c>
      <c r="G398">
        <v>73</v>
      </c>
      <c r="H398">
        <v>368</v>
      </c>
      <c r="I398">
        <v>12</v>
      </c>
      <c r="J398">
        <f>SUM(C398:I398)</f>
        <v>1067</v>
      </c>
      <c r="L398"/>
    </row>
    <row r="399" spans="1:12" x14ac:dyDescent="0.35">
      <c r="A399" t="s">
        <v>51</v>
      </c>
      <c r="B399">
        <v>2012</v>
      </c>
      <c r="C399">
        <v>183</v>
      </c>
      <c r="D399">
        <v>152</v>
      </c>
      <c r="E399">
        <v>2</v>
      </c>
      <c r="F399">
        <v>250</v>
      </c>
      <c r="G399">
        <v>68</v>
      </c>
      <c r="H399">
        <v>251</v>
      </c>
      <c r="I399">
        <v>6</v>
      </c>
      <c r="J399">
        <f>SUM(C399:I399)</f>
        <v>912</v>
      </c>
      <c r="L399"/>
    </row>
    <row r="400" spans="1:12" x14ac:dyDescent="0.35">
      <c r="A400" t="s">
        <v>58</v>
      </c>
      <c r="B400">
        <v>2012</v>
      </c>
      <c r="C400">
        <v>63</v>
      </c>
      <c r="D400">
        <v>133</v>
      </c>
      <c r="E400">
        <v>0</v>
      </c>
      <c r="F400">
        <v>49</v>
      </c>
      <c r="G400">
        <v>1</v>
      </c>
      <c r="H400">
        <v>43</v>
      </c>
      <c r="I400">
        <v>15</v>
      </c>
      <c r="J400">
        <f>SUM(C400:I400)</f>
        <v>304</v>
      </c>
      <c r="L400"/>
    </row>
    <row r="401" spans="1:12" x14ac:dyDescent="0.35">
      <c r="A401" t="s">
        <v>59</v>
      </c>
      <c r="B401">
        <v>2012</v>
      </c>
      <c r="C401">
        <v>164</v>
      </c>
      <c r="D401">
        <v>24</v>
      </c>
      <c r="E401">
        <v>1</v>
      </c>
      <c r="F401">
        <v>43</v>
      </c>
      <c r="G401">
        <v>0</v>
      </c>
      <c r="H401">
        <v>16</v>
      </c>
      <c r="I401">
        <v>7</v>
      </c>
      <c r="J401">
        <f>SUM(C401:I401)</f>
        <v>255</v>
      </c>
      <c r="L401"/>
    </row>
    <row r="402" spans="1:12" x14ac:dyDescent="0.35">
      <c r="A402" t="s">
        <v>73</v>
      </c>
      <c r="B402">
        <v>2012</v>
      </c>
      <c r="C402">
        <v>27</v>
      </c>
      <c r="D402">
        <v>66</v>
      </c>
      <c r="E402">
        <v>5</v>
      </c>
      <c r="F402">
        <v>45</v>
      </c>
      <c r="G402">
        <v>25</v>
      </c>
      <c r="H402">
        <v>73</v>
      </c>
      <c r="I402">
        <v>0</v>
      </c>
      <c r="J402">
        <f>SUM(C402:I402)</f>
        <v>241</v>
      </c>
      <c r="L402"/>
    </row>
    <row r="403" spans="1:12" x14ac:dyDescent="0.35">
      <c r="A403" t="s">
        <v>44</v>
      </c>
      <c r="B403">
        <v>2012</v>
      </c>
      <c r="C403">
        <v>46</v>
      </c>
      <c r="D403">
        <v>58</v>
      </c>
      <c r="E403">
        <v>1</v>
      </c>
      <c r="F403">
        <v>67</v>
      </c>
      <c r="G403">
        <v>2</v>
      </c>
      <c r="H403">
        <v>26</v>
      </c>
      <c r="I403">
        <v>1</v>
      </c>
      <c r="J403">
        <f>SUM(C403:I403)</f>
        <v>201</v>
      </c>
      <c r="L403"/>
    </row>
    <row r="404" spans="1:12" x14ac:dyDescent="0.35">
      <c r="A404" t="s">
        <v>48</v>
      </c>
      <c r="B404">
        <v>2012</v>
      </c>
      <c r="C404">
        <v>55</v>
      </c>
      <c r="D404">
        <v>16</v>
      </c>
      <c r="E404">
        <v>0</v>
      </c>
      <c r="F404">
        <v>49</v>
      </c>
      <c r="G404">
        <v>16</v>
      </c>
      <c r="H404">
        <v>24</v>
      </c>
      <c r="I404">
        <v>40</v>
      </c>
      <c r="J404">
        <f>SUM(C404:I404)</f>
        <v>200</v>
      </c>
      <c r="L404"/>
    </row>
    <row r="405" spans="1:12" x14ac:dyDescent="0.35">
      <c r="A405" t="s">
        <v>60</v>
      </c>
      <c r="B405">
        <v>2012</v>
      </c>
      <c r="C405">
        <v>103</v>
      </c>
      <c r="D405">
        <v>3</v>
      </c>
      <c r="E405">
        <v>0</v>
      </c>
      <c r="F405">
        <v>85</v>
      </c>
      <c r="G405">
        <v>0</v>
      </c>
      <c r="H405">
        <v>8</v>
      </c>
      <c r="I405">
        <v>0</v>
      </c>
      <c r="J405">
        <f>SUM(C405:I405)</f>
        <v>199</v>
      </c>
      <c r="L405"/>
    </row>
    <row r="406" spans="1:12" x14ac:dyDescent="0.35">
      <c r="A406" t="s">
        <v>65</v>
      </c>
      <c r="B406">
        <v>2012</v>
      </c>
      <c r="C406">
        <v>34</v>
      </c>
      <c r="D406">
        <v>10</v>
      </c>
      <c r="E406">
        <v>1</v>
      </c>
      <c r="F406">
        <v>19</v>
      </c>
      <c r="G406">
        <v>0</v>
      </c>
      <c r="H406">
        <v>4</v>
      </c>
      <c r="I406">
        <v>0</v>
      </c>
      <c r="J406">
        <f>SUM(C406:I406)</f>
        <v>68</v>
      </c>
      <c r="L406"/>
    </row>
    <row r="407" spans="1:12" x14ac:dyDescent="0.35">
      <c r="A407" t="s">
        <v>61</v>
      </c>
      <c r="B407">
        <v>2012</v>
      </c>
      <c r="C407">
        <v>21</v>
      </c>
      <c r="D407">
        <v>10</v>
      </c>
      <c r="E407">
        <v>0</v>
      </c>
      <c r="F407">
        <v>16</v>
      </c>
      <c r="G407">
        <v>0</v>
      </c>
      <c r="H407">
        <v>0</v>
      </c>
      <c r="I407">
        <v>4</v>
      </c>
      <c r="J407">
        <f>SUM(C407:I407)</f>
        <v>51</v>
      </c>
      <c r="L407"/>
    </row>
    <row r="408" spans="1:12" x14ac:dyDescent="0.35">
      <c r="A408" t="s">
        <v>78</v>
      </c>
      <c r="B408">
        <v>2012</v>
      </c>
      <c r="C408">
        <v>13</v>
      </c>
      <c r="D408">
        <v>16</v>
      </c>
      <c r="E408">
        <v>0</v>
      </c>
      <c r="F408">
        <v>9</v>
      </c>
      <c r="G408">
        <v>2</v>
      </c>
      <c r="H408">
        <v>6</v>
      </c>
      <c r="I408">
        <v>4</v>
      </c>
      <c r="J408">
        <f>SUM(C408:I408)</f>
        <v>50</v>
      </c>
      <c r="L408"/>
    </row>
    <row r="409" spans="1:12" x14ac:dyDescent="0.35">
      <c r="A409" t="s">
        <v>72</v>
      </c>
      <c r="B409">
        <v>2012</v>
      </c>
      <c r="C409">
        <v>12</v>
      </c>
      <c r="D409">
        <v>7</v>
      </c>
      <c r="E409">
        <v>2</v>
      </c>
      <c r="F409">
        <v>10</v>
      </c>
      <c r="G409">
        <v>4</v>
      </c>
      <c r="H409">
        <v>5</v>
      </c>
      <c r="I409">
        <v>2</v>
      </c>
      <c r="J409">
        <f>SUM(C409:I409)</f>
        <v>42</v>
      </c>
      <c r="L409"/>
    </row>
    <row r="410" spans="1:12" x14ac:dyDescent="0.35">
      <c r="A410" t="s">
        <v>74</v>
      </c>
      <c r="B410">
        <v>2012</v>
      </c>
      <c r="C410">
        <v>3</v>
      </c>
      <c r="D410">
        <v>9</v>
      </c>
      <c r="E410">
        <v>0</v>
      </c>
      <c r="F410">
        <v>2</v>
      </c>
      <c r="G410">
        <v>0</v>
      </c>
      <c r="H410">
        <v>0</v>
      </c>
      <c r="I410">
        <v>2</v>
      </c>
      <c r="J410">
        <f>SUM(C410:I410)</f>
        <v>16</v>
      </c>
      <c r="L410"/>
    </row>
    <row r="411" spans="1:12" x14ac:dyDescent="0.35">
      <c r="A411" t="s">
        <v>75</v>
      </c>
      <c r="B411">
        <v>2012</v>
      </c>
      <c r="C411">
        <v>5</v>
      </c>
      <c r="D411">
        <v>0</v>
      </c>
      <c r="E411">
        <v>0</v>
      </c>
      <c r="F411">
        <v>0</v>
      </c>
      <c r="G411">
        <v>0</v>
      </c>
      <c r="H411">
        <v>3</v>
      </c>
      <c r="I411">
        <v>3</v>
      </c>
      <c r="J411">
        <f>SUM(C411:I411)</f>
        <v>11</v>
      </c>
      <c r="L411"/>
    </row>
    <row r="412" spans="1:12" x14ac:dyDescent="0.35">
      <c r="A412" t="s">
        <v>77</v>
      </c>
      <c r="B412">
        <v>2012</v>
      </c>
      <c r="C412">
        <v>0</v>
      </c>
      <c r="D412">
        <v>0</v>
      </c>
      <c r="E412">
        <v>0</v>
      </c>
      <c r="F412">
        <v>1</v>
      </c>
      <c r="G412">
        <v>0</v>
      </c>
      <c r="H412">
        <v>1</v>
      </c>
      <c r="I412">
        <v>0</v>
      </c>
      <c r="J412">
        <f>SUM(C412:I412)</f>
        <v>2</v>
      </c>
      <c r="L412"/>
    </row>
    <row r="413" spans="1:12" x14ac:dyDescent="0.35">
      <c r="A413" t="s">
        <v>67</v>
      </c>
      <c r="B413">
        <v>2012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f>SUM(C413:I413)</f>
        <v>0</v>
      </c>
      <c r="L413"/>
    </row>
    <row r="414" spans="1:12" x14ac:dyDescent="0.35">
      <c r="A414" t="s">
        <v>69</v>
      </c>
      <c r="B414">
        <v>2013</v>
      </c>
      <c r="C414">
        <v>3050</v>
      </c>
      <c r="D414">
        <v>9737</v>
      </c>
      <c r="E414">
        <v>2335</v>
      </c>
      <c r="F414">
        <v>7303</v>
      </c>
      <c r="G414">
        <v>25</v>
      </c>
      <c r="H414">
        <v>8781</v>
      </c>
      <c r="I414">
        <v>37</v>
      </c>
      <c r="J414">
        <f>SUM(C414:I414)</f>
        <v>31268</v>
      </c>
      <c r="L414"/>
    </row>
    <row r="415" spans="1:12" x14ac:dyDescent="0.35">
      <c r="A415" t="s">
        <v>43</v>
      </c>
      <c r="B415">
        <v>2013</v>
      </c>
      <c r="C415">
        <v>1635</v>
      </c>
      <c r="D415">
        <v>1595</v>
      </c>
      <c r="E415">
        <v>492</v>
      </c>
      <c r="F415">
        <v>6930</v>
      </c>
      <c r="G415">
        <v>4702</v>
      </c>
      <c r="H415">
        <v>15084</v>
      </c>
      <c r="I415">
        <v>489</v>
      </c>
      <c r="J415">
        <f>SUM(C415:I415)</f>
        <v>30927</v>
      </c>
      <c r="L415"/>
    </row>
    <row r="416" spans="1:12" x14ac:dyDescent="0.35">
      <c r="A416" t="s">
        <v>71</v>
      </c>
      <c r="B416">
        <v>2013</v>
      </c>
      <c r="C416">
        <v>1685</v>
      </c>
      <c r="D416">
        <v>3830</v>
      </c>
      <c r="E416">
        <v>481</v>
      </c>
      <c r="F416">
        <v>4913</v>
      </c>
      <c r="G416">
        <v>577</v>
      </c>
      <c r="H416">
        <v>18116</v>
      </c>
      <c r="I416">
        <v>104</v>
      </c>
      <c r="J416">
        <f>SUM(C416:I416)</f>
        <v>29706</v>
      </c>
      <c r="L416"/>
    </row>
    <row r="417" spans="1:12" x14ac:dyDescent="0.35">
      <c r="A417" t="s">
        <v>64</v>
      </c>
      <c r="B417">
        <v>2013</v>
      </c>
      <c r="C417">
        <v>3285</v>
      </c>
      <c r="D417">
        <v>4047</v>
      </c>
      <c r="E417">
        <v>453</v>
      </c>
      <c r="F417">
        <v>4829</v>
      </c>
      <c r="G417">
        <v>25</v>
      </c>
      <c r="H417">
        <v>15094</v>
      </c>
      <c r="I417">
        <v>74</v>
      </c>
      <c r="J417">
        <f>SUM(C417:I417)</f>
        <v>27807</v>
      </c>
      <c r="L417"/>
    </row>
    <row r="418" spans="1:12" x14ac:dyDescent="0.35">
      <c r="A418" t="s">
        <v>57</v>
      </c>
      <c r="B418">
        <v>2013</v>
      </c>
      <c r="C418">
        <v>3063</v>
      </c>
      <c r="D418">
        <v>1874</v>
      </c>
      <c r="E418">
        <v>320</v>
      </c>
      <c r="F418">
        <v>8132</v>
      </c>
      <c r="G418">
        <v>2632</v>
      </c>
      <c r="H418">
        <v>8542</v>
      </c>
      <c r="I418">
        <v>289</v>
      </c>
      <c r="J418">
        <f>SUM(C418:I418)</f>
        <v>24852</v>
      </c>
      <c r="L418"/>
    </row>
    <row r="419" spans="1:12" x14ac:dyDescent="0.35">
      <c r="A419" t="s">
        <v>56</v>
      </c>
      <c r="B419">
        <v>2013</v>
      </c>
      <c r="C419">
        <v>4335</v>
      </c>
      <c r="D419">
        <v>2873</v>
      </c>
      <c r="E419">
        <v>776</v>
      </c>
      <c r="F419">
        <v>8252</v>
      </c>
      <c r="G419">
        <v>736</v>
      </c>
      <c r="H419">
        <v>4988</v>
      </c>
      <c r="I419">
        <v>22</v>
      </c>
      <c r="J419">
        <f>SUM(C419:I419)</f>
        <v>21982</v>
      </c>
      <c r="L419"/>
    </row>
    <row r="420" spans="1:12" x14ac:dyDescent="0.35">
      <c r="A420" t="s">
        <v>45</v>
      </c>
      <c r="B420">
        <v>2013</v>
      </c>
      <c r="C420">
        <v>1937</v>
      </c>
      <c r="D420">
        <v>4222</v>
      </c>
      <c r="E420">
        <v>170</v>
      </c>
      <c r="F420">
        <v>2409</v>
      </c>
      <c r="G420">
        <v>14</v>
      </c>
      <c r="H420">
        <v>8636</v>
      </c>
      <c r="I420">
        <v>18</v>
      </c>
      <c r="J420">
        <f>SUM(C420:I420)</f>
        <v>17406</v>
      </c>
      <c r="L420"/>
    </row>
    <row r="421" spans="1:12" x14ac:dyDescent="0.35">
      <c r="A421" t="s">
        <v>76</v>
      </c>
      <c r="B421">
        <v>2013</v>
      </c>
      <c r="C421">
        <v>1636</v>
      </c>
      <c r="D421">
        <v>3609</v>
      </c>
      <c r="E421">
        <v>144</v>
      </c>
      <c r="F421">
        <v>3515</v>
      </c>
      <c r="G421">
        <v>916</v>
      </c>
      <c r="H421">
        <v>3033</v>
      </c>
      <c r="I421">
        <v>20</v>
      </c>
      <c r="J421">
        <f>SUM(C421:I421)</f>
        <v>12873</v>
      </c>
      <c r="L421"/>
    </row>
    <row r="422" spans="1:12" x14ac:dyDescent="0.35">
      <c r="A422" t="s">
        <v>49</v>
      </c>
      <c r="B422">
        <v>2013</v>
      </c>
      <c r="C422">
        <v>732</v>
      </c>
      <c r="D422">
        <v>2230</v>
      </c>
      <c r="E422">
        <v>29</v>
      </c>
      <c r="F422">
        <v>1243</v>
      </c>
      <c r="G422">
        <v>77</v>
      </c>
      <c r="H422">
        <v>7812</v>
      </c>
      <c r="I422">
        <v>76</v>
      </c>
      <c r="J422">
        <f>SUM(C422:I422)</f>
        <v>12199</v>
      </c>
      <c r="L422"/>
    </row>
    <row r="423" spans="1:12" x14ac:dyDescent="0.35">
      <c r="A423" t="s">
        <v>62</v>
      </c>
      <c r="B423">
        <v>2013</v>
      </c>
      <c r="C423">
        <v>1832</v>
      </c>
      <c r="D423">
        <v>2067</v>
      </c>
      <c r="E423">
        <v>395</v>
      </c>
      <c r="F423">
        <v>4618</v>
      </c>
      <c r="G423">
        <v>426</v>
      </c>
      <c r="H423">
        <v>2792</v>
      </c>
      <c r="I423">
        <v>27</v>
      </c>
      <c r="J423">
        <f>SUM(C423:I423)</f>
        <v>12157</v>
      </c>
      <c r="L423"/>
    </row>
    <row r="424" spans="1:12" x14ac:dyDescent="0.35">
      <c r="A424" t="s">
        <v>46</v>
      </c>
      <c r="B424">
        <v>2013</v>
      </c>
      <c r="C424">
        <v>1128</v>
      </c>
      <c r="D424">
        <v>4419</v>
      </c>
      <c r="E424">
        <v>1182</v>
      </c>
      <c r="F424">
        <v>331</v>
      </c>
      <c r="G424">
        <v>52</v>
      </c>
      <c r="H424">
        <v>4533</v>
      </c>
      <c r="I424">
        <v>64</v>
      </c>
      <c r="J424">
        <f>SUM(C424:I424)</f>
        <v>11709</v>
      </c>
      <c r="L424"/>
    </row>
    <row r="425" spans="1:12" x14ac:dyDescent="0.35">
      <c r="A425" t="s">
        <v>55</v>
      </c>
      <c r="B425">
        <v>2013</v>
      </c>
      <c r="C425">
        <v>1221</v>
      </c>
      <c r="D425">
        <v>185</v>
      </c>
      <c r="E425">
        <v>21</v>
      </c>
      <c r="F425">
        <v>4362</v>
      </c>
      <c r="G425">
        <v>404</v>
      </c>
      <c r="H425">
        <v>4820</v>
      </c>
      <c r="I425">
        <v>180</v>
      </c>
      <c r="J425">
        <f>SUM(C425:I425)</f>
        <v>11193</v>
      </c>
      <c r="L425"/>
    </row>
    <row r="426" spans="1:12" x14ac:dyDescent="0.35">
      <c r="A426" t="s">
        <v>54</v>
      </c>
      <c r="B426">
        <v>2013</v>
      </c>
      <c r="C426">
        <v>1030</v>
      </c>
      <c r="D426">
        <v>1359</v>
      </c>
      <c r="E426">
        <v>277</v>
      </c>
      <c r="F426">
        <v>3913</v>
      </c>
      <c r="G426">
        <v>137</v>
      </c>
      <c r="H426">
        <v>3276</v>
      </c>
      <c r="I426">
        <v>340</v>
      </c>
      <c r="J426">
        <f>SUM(C426:I426)</f>
        <v>10332</v>
      </c>
      <c r="L426"/>
    </row>
    <row r="427" spans="1:12" x14ac:dyDescent="0.35">
      <c r="A427" t="s">
        <v>50</v>
      </c>
      <c r="B427">
        <v>2013</v>
      </c>
      <c r="C427">
        <v>971</v>
      </c>
      <c r="D427">
        <v>1957</v>
      </c>
      <c r="E427">
        <v>263</v>
      </c>
      <c r="F427">
        <v>1560</v>
      </c>
      <c r="G427">
        <v>643</v>
      </c>
      <c r="H427">
        <v>3617</v>
      </c>
      <c r="I427">
        <v>63</v>
      </c>
      <c r="J427">
        <f>SUM(C427:I427)</f>
        <v>9074</v>
      </c>
      <c r="L427"/>
    </row>
    <row r="428" spans="1:12" x14ac:dyDescent="0.35">
      <c r="A428" t="s">
        <v>66</v>
      </c>
      <c r="B428">
        <v>2013</v>
      </c>
      <c r="C428">
        <v>923</v>
      </c>
      <c r="D428">
        <v>1516</v>
      </c>
      <c r="E428">
        <v>118</v>
      </c>
      <c r="F428">
        <v>1271</v>
      </c>
      <c r="G428">
        <v>313</v>
      </c>
      <c r="H428">
        <v>2471</v>
      </c>
      <c r="I428">
        <v>549</v>
      </c>
      <c r="J428">
        <f>SUM(C428:I428)</f>
        <v>7161</v>
      </c>
      <c r="L428"/>
    </row>
    <row r="429" spans="1:12" x14ac:dyDescent="0.35">
      <c r="A429" t="s">
        <v>47</v>
      </c>
      <c r="B429">
        <v>2013</v>
      </c>
      <c r="C429">
        <v>1380</v>
      </c>
      <c r="D429">
        <v>1881</v>
      </c>
      <c r="E429">
        <v>109</v>
      </c>
      <c r="F429">
        <v>2261</v>
      </c>
      <c r="G429">
        <v>180</v>
      </c>
      <c r="H429">
        <v>1181</v>
      </c>
      <c r="I429">
        <v>8</v>
      </c>
      <c r="J429">
        <f>SUM(C429:I429)</f>
        <v>7000</v>
      </c>
      <c r="L429"/>
    </row>
    <row r="430" spans="1:12" x14ac:dyDescent="0.35">
      <c r="A430" t="s">
        <v>53</v>
      </c>
      <c r="B430">
        <v>2013</v>
      </c>
      <c r="C430">
        <v>1204</v>
      </c>
      <c r="D430">
        <v>926</v>
      </c>
      <c r="E430">
        <v>307</v>
      </c>
      <c r="F430">
        <v>524</v>
      </c>
      <c r="G430">
        <v>18</v>
      </c>
      <c r="H430">
        <v>2084</v>
      </c>
      <c r="I430">
        <v>11</v>
      </c>
      <c r="J430">
        <f>SUM(C430:I430)</f>
        <v>5074</v>
      </c>
      <c r="L430"/>
    </row>
    <row r="431" spans="1:12" x14ac:dyDescent="0.35">
      <c r="A431" t="s">
        <v>63</v>
      </c>
      <c r="B431">
        <v>2013</v>
      </c>
      <c r="C431">
        <v>888</v>
      </c>
      <c r="D431">
        <v>987</v>
      </c>
      <c r="E431">
        <v>126</v>
      </c>
      <c r="F431">
        <v>1045</v>
      </c>
      <c r="G431">
        <v>67</v>
      </c>
      <c r="H431">
        <v>1741</v>
      </c>
      <c r="I431">
        <v>137</v>
      </c>
      <c r="J431">
        <f>SUM(C431:I431)</f>
        <v>4991</v>
      </c>
      <c r="L431"/>
    </row>
    <row r="432" spans="1:12" x14ac:dyDescent="0.35">
      <c r="A432" t="s">
        <v>52</v>
      </c>
      <c r="B432">
        <v>2013</v>
      </c>
      <c r="C432">
        <v>378</v>
      </c>
      <c r="D432">
        <v>949</v>
      </c>
      <c r="E432">
        <v>7</v>
      </c>
      <c r="F432">
        <v>1389</v>
      </c>
      <c r="G432">
        <v>354</v>
      </c>
      <c r="H432">
        <v>428</v>
      </c>
      <c r="I432">
        <v>1</v>
      </c>
      <c r="J432">
        <f>SUM(C432:I432)</f>
        <v>3506</v>
      </c>
      <c r="L432"/>
    </row>
    <row r="433" spans="1:12" x14ac:dyDescent="0.35">
      <c r="A433" t="s">
        <v>70</v>
      </c>
      <c r="B433">
        <v>2013</v>
      </c>
      <c r="C433">
        <v>228</v>
      </c>
      <c r="D433">
        <v>633</v>
      </c>
      <c r="E433">
        <v>43</v>
      </c>
      <c r="F433">
        <v>295</v>
      </c>
      <c r="G433">
        <v>72</v>
      </c>
      <c r="H433">
        <v>435</v>
      </c>
      <c r="I433">
        <v>13</v>
      </c>
      <c r="J433">
        <f>SUM(C433:I433)</f>
        <v>1719</v>
      </c>
      <c r="L433"/>
    </row>
    <row r="434" spans="1:12" x14ac:dyDescent="0.35">
      <c r="A434" t="s">
        <v>68</v>
      </c>
      <c r="B434">
        <v>2013</v>
      </c>
      <c r="C434">
        <v>233</v>
      </c>
      <c r="D434">
        <v>124</v>
      </c>
      <c r="E434">
        <v>29</v>
      </c>
      <c r="F434">
        <v>407</v>
      </c>
      <c r="G434">
        <v>7</v>
      </c>
      <c r="H434">
        <v>827</v>
      </c>
      <c r="I434">
        <v>0</v>
      </c>
      <c r="J434">
        <f>SUM(C434:I434)</f>
        <v>1627</v>
      </c>
      <c r="L434"/>
    </row>
    <row r="435" spans="1:12" x14ac:dyDescent="0.35">
      <c r="A435" t="s">
        <v>51</v>
      </c>
      <c r="B435">
        <v>2013</v>
      </c>
      <c r="C435">
        <v>250</v>
      </c>
      <c r="D435">
        <v>290</v>
      </c>
      <c r="E435">
        <v>0</v>
      </c>
      <c r="F435">
        <v>493</v>
      </c>
      <c r="G435">
        <v>111</v>
      </c>
      <c r="H435">
        <v>328</v>
      </c>
      <c r="I435">
        <v>4</v>
      </c>
      <c r="J435">
        <f>SUM(C435:I435)</f>
        <v>1476</v>
      </c>
      <c r="L435"/>
    </row>
    <row r="436" spans="1:12" x14ac:dyDescent="0.35">
      <c r="A436" t="s">
        <v>73</v>
      </c>
      <c r="B436">
        <v>2013</v>
      </c>
      <c r="C436">
        <v>45</v>
      </c>
      <c r="D436">
        <v>174</v>
      </c>
      <c r="E436">
        <v>1</v>
      </c>
      <c r="F436">
        <v>143</v>
      </c>
      <c r="G436">
        <v>26</v>
      </c>
      <c r="H436">
        <v>92</v>
      </c>
      <c r="I436">
        <v>6</v>
      </c>
      <c r="J436">
        <f>SUM(C436:I436)</f>
        <v>487</v>
      </c>
      <c r="L436"/>
    </row>
    <row r="437" spans="1:12" x14ac:dyDescent="0.35">
      <c r="A437" t="s">
        <v>48</v>
      </c>
      <c r="B437">
        <v>2013</v>
      </c>
      <c r="C437">
        <v>86</v>
      </c>
      <c r="D437">
        <v>70</v>
      </c>
      <c r="E437">
        <v>0</v>
      </c>
      <c r="F437">
        <v>162</v>
      </c>
      <c r="G437">
        <v>54</v>
      </c>
      <c r="H437">
        <v>40</v>
      </c>
      <c r="I437">
        <v>28</v>
      </c>
      <c r="J437">
        <f>SUM(C437:I437)</f>
        <v>440</v>
      </c>
      <c r="L437"/>
    </row>
    <row r="438" spans="1:12" x14ac:dyDescent="0.35">
      <c r="A438" t="s">
        <v>59</v>
      </c>
      <c r="B438">
        <v>2013</v>
      </c>
      <c r="C438">
        <v>183</v>
      </c>
      <c r="D438">
        <v>33</v>
      </c>
      <c r="E438">
        <v>2</v>
      </c>
      <c r="F438">
        <v>98</v>
      </c>
      <c r="G438">
        <v>0</v>
      </c>
      <c r="H438">
        <v>23</v>
      </c>
      <c r="I438">
        <v>4</v>
      </c>
      <c r="J438">
        <f>SUM(C438:I438)</f>
        <v>343</v>
      </c>
      <c r="L438"/>
    </row>
    <row r="439" spans="1:12" x14ac:dyDescent="0.35">
      <c r="A439" t="s">
        <v>44</v>
      </c>
      <c r="B439">
        <v>2013</v>
      </c>
      <c r="C439">
        <v>75</v>
      </c>
      <c r="D439">
        <v>86</v>
      </c>
      <c r="E439">
        <v>0</v>
      </c>
      <c r="F439">
        <v>93</v>
      </c>
      <c r="G439">
        <v>3</v>
      </c>
      <c r="H439">
        <v>29</v>
      </c>
      <c r="I439">
        <v>2</v>
      </c>
      <c r="J439">
        <f>SUM(C439:I439)</f>
        <v>288</v>
      </c>
      <c r="L439"/>
    </row>
    <row r="440" spans="1:12" x14ac:dyDescent="0.35">
      <c r="A440" t="s">
        <v>58</v>
      </c>
      <c r="B440">
        <v>2013</v>
      </c>
      <c r="C440">
        <v>72</v>
      </c>
      <c r="D440">
        <v>125</v>
      </c>
      <c r="E440">
        <v>0</v>
      </c>
      <c r="F440">
        <v>59</v>
      </c>
      <c r="G440">
        <v>0</v>
      </c>
      <c r="H440">
        <v>29</v>
      </c>
      <c r="I440">
        <v>0</v>
      </c>
      <c r="J440">
        <f>SUM(C440:I440)</f>
        <v>285</v>
      </c>
      <c r="L440"/>
    </row>
    <row r="441" spans="1:12" x14ac:dyDescent="0.35">
      <c r="A441" t="s">
        <v>60</v>
      </c>
      <c r="B441">
        <v>2013</v>
      </c>
      <c r="C441">
        <v>89</v>
      </c>
      <c r="D441">
        <v>2</v>
      </c>
      <c r="E441">
        <v>0</v>
      </c>
      <c r="F441">
        <v>81</v>
      </c>
      <c r="G441">
        <v>0</v>
      </c>
      <c r="H441">
        <v>5</v>
      </c>
      <c r="I441">
        <v>0</v>
      </c>
      <c r="J441">
        <f>SUM(C441:I441)</f>
        <v>177</v>
      </c>
      <c r="L441"/>
    </row>
    <row r="442" spans="1:12" x14ac:dyDescent="0.35">
      <c r="A442" t="s">
        <v>72</v>
      </c>
      <c r="B442">
        <v>2013</v>
      </c>
      <c r="C442">
        <v>27</v>
      </c>
      <c r="D442">
        <v>12</v>
      </c>
      <c r="E442">
        <v>1</v>
      </c>
      <c r="F442">
        <v>45</v>
      </c>
      <c r="G442">
        <v>8</v>
      </c>
      <c r="H442">
        <v>9</v>
      </c>
      <c r="I442">
        <v>4</v>
      </c>
      <c r="J442">
        <f>SUM(C442:I442)</f>
        <v>106</v>
      </c>
      <c r="L442"/>
    </row>
    <row r="443" spans="1:12" x14ac:dyDescent="0.35">
      <c r="A443" t="s">
        <v>65</v>
      </c>
      <c r="B443">
        <v>2013</v>
      </c>
      <c r="C443">
        <v>43</v>
      </c>
      <c r="D443">
        <v>16</v>
      </c>
      <c r="E443">
        <v>0</v>
      </c>
      <c r="F443">
        <v>29</v>
      </c>
      <c r="G443">
        <v>0</v>
      </c>
      <c r="H443">
        <v>5</v>
      </c>
      <c r="I443">
        <v>0</v>
      </c>
      <c r="J443">
        <f>SUM(C443:I443)</f>
        <v>93</v>
      </c>
      <c r="L443"/>
    </row>
    <row r="444" spans="1:12" x14ac:dyDescent="0.35">
      <c r="A444" t="s">
        <v>78</v>
      </c>
      <c r="B444">
        <v>2013</v>
      </c>
      <c r="C444">
        <v>17</v>
      </c>
      <c r="D444">
        <v>25</v>
      </c>
      <c r="E444">
        <v>1</v>
      </c>
      <c r="F444">
        <v>12</v>
      </c>
      <c r="G444">
        <v>8</v>
      </c>
      <c r="H444">
        <v>8</v>
      </c>
      <c r="I444">
        <v>0</v>
      </c>
      <c r="J444">
        <f>SUM(C444:I444)</f>
        <v>71</v>
      </c>
      <c r="L444"/>
    </row>
    <row r="445" spans="1:12" x14ac:dyDescent="0.35">
      <c r="A445" t="s">
        <v>61</v>
      </c>
      <c r="B445">
        <v>2013</v>
      </c>
      <c r="C445">
        <v>31</v>
      </c>
      <c r="D445">
        <v>11</v>
      </c>
      <c r="E445">
        <v>1</v>
      </c>
      <c r="F445">
        <v>18</v>
      </c>
      <c r="G445">
        <v>1</v>
      </c>
      <c r="H445">
        <v>4</v>
      </c>
      <c r="I445">
        <v>1</v>
      </c>
      <c r="J445">
        <f>SUM(C445:I445)</f>
        <v>67</v>
      </c>
      <c r="L445"/>
    </row>
    <row r="446" spans="1:12" x14ac:dyDescent="0.35">
      <c r="A446" t="s">
        <v>75</v>
      </c>
      <c r="B446">
        <v>2013</v>
      </c>
      <c r="C446">
        <v>8</v>
      </c>
      <c r="D446">
        <v>6</v>
      </c>
      <c r="E446">
        <v>0</v>
      </c>
      <c r="F446">
        <v>2</v>
      </c>
      <c r="G446">
        <v>0</v>
      </c>
      <c r="H446">
        <v>2</v>
      </c>
      <c r="I446">
        <v>6</v>
      </c>
      <c r="J446">
        <f>SUM(C446:I446)</f>
        <v>24</v>
      </c>
      <c r="L446"/>
    </row>
    <row r="447" spans="1:12" x14ac:dyDescent="0.35">
      <c r="A447" t="s">
        <v>74</v>
      </c>
      <c r="B447">
        <v>2013</v>
      </c>
      <c r="C447">
        <v>5</v>
      </c>
      <c r="D447">
        <v>11</v>
      </c>
      <c r="E447">
        <v>0</v>
      </c>
      <c r="F447">
        <v>1</v>
      </c>
      <c r="G447">
        <v>1</v>
      </c>
      <c r="H447">
        <v>1</v>
      </c>
      <c r="I447">
        <v>2</v>
      </c>
      <c r="J447">
        <f>SUM(C447:I447)</f>
        <v>21</v>
      </c>
      <c r="L447"/>
    </row>
    <row r="448" spans="1:12" x14ac:dyDescent="0.35">
      <c r="A448" t="s">
        <v>77</v>
      </c>
      <c r="B448">
        <v>2013</v>
      </c>
      <c r="C448">
        <v>2</v>
      </c>
      <c r="D448">
        <v>0</v>
      </c>
      <c r="E448">
        <v>0</v>
      </c>
      <c r="F448">
        <v>1</v>
      </c>
      <c r="G448">
        <v>0</v>
      </c>
      <c r="H448">
        <v>0</v>
      </c>
      <c r="I448">
        <v>0</v>
      </c>
      <c r="J448">
        <f>SUM(C448:I448)</f>
        <v>3</v>
      </c>
      <c r="L448"/>
    </row>
    <row r="449" spans="1:12" x14ac:dyDescent="0.35">
      <c r="A449" t="s">
        <v>67</v>
      </c>
      <c r="B449">
        <v>2013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f>SUM(C449:I449)</f>
        <v>0</v>
      </c>
      <c r="L449"/>
    </row>
    <row r="450" spans="1:12" x14ac:dyDescent="0.35">
      <c r="A450" t="s">
        <v>69</v>
      </c>
      <c r="B450">
        <v>2014</v>
      </c>
      <c r="C450">
        <v>3467</v>
      </c>
      <c r="D450">
        <v>10626</v>
      </c>
      <c r="E450">
        <v>2133</v>
      </c>
      <c r="F450">
        <v>8605</v>
      </c>
      <c r="G450">
        <v>4435</v>
      </c>
      <c r="H450">
        <v>10471</v>
      </c>
      <c r="I450">
        <v>37</v>
      </c>
      <c r="J450">
        <f>SUM(C450:I450)</f>
        <v>39774</v>
      </c>
      <c r="L450"/>
    </row>
    <row r="451" spans="1:12" x14ac:dyDescent="0.35">
      <c r="A451" t="s">
        <v>71</v>
      </c>
      <c r="B451">
        <v>2014</v>
      </c>
      <c r="C451">
        <v>1466</v>
      </c>
      <c r="D451">
        <v>4976</v>
      </c>
      <c r="E451">
        <v>1</v>
      </c>
      <c r="F451">
        <v>5670</v>
      </c>
      <c r="G451">
        <v>1045</v>
      </c>
      <c r="H451">
        <v>23278</v>
      </c>
      <c r="I451">
        <v>80</v>
      </c>
      <c r="J451">
        <f>SUM(C451:I451)</f>
        <v>36516</v>
      </c>
      <c r="L451"/>
    </row>
    <row r="452" spans="1:12" x14ac:dyDescent="0.35">
      <c r="A452" t="s">
        <v>64</v>
      </c>
      <c r="B452">
        <v>2014</v>
      </c>
      <c r="C452">
        <v>3759</v>
      </c>
      <c r="D452">
        <v>4421</v>
      </c>
      <c r="E452">
        <v>12</v>
      </c>
      <c r="F452">
        <v>5999</v>
      </c>
      <c r="G452">
        <v>727</v>
      </c>
      <c r="H452">
        <v>15905</v>
      </c>
      <c r="I452">
        <v>78</v>
      </c>
      <c r="J452">
        <f>SUM(C452:I452)</f>
        <v>30901</v>
      </c>
      <c r="L452"/>
    </row>
    <row r="453" spans="1:12" x14ac:dyDescent="0.35">
      <c r="A453" t="s">
        <v>56</v>
      </c>
      <c r="B453">
        <v>2014</v>
      </c>
      <c r="C453">
        <v>5076</v>
      </c>
      <c r="D453">
        <v>5688</v>
      </c>
      <c r="E453">
        <v>113</v>
      </c>
      <c r="F453">
        <v>9609</v>
      </c>
      <c r="G453">
        <v>3163</v>
      </c>
      <c r="H453">
        <v>6451</v>
      </c>
      <c r="I453">
        <v>15</v>
      </c>
      <c r="J453">
        <f>SUM(C453:I453)</f>
        <v>30115</v>
      </c>
      <c r="L453"/>
    </row>
    <row r="454" spans="1:12" x14ac:dyDescent="0.35">
      <c r="A454" t="s">
        <v>57</v>
      </c>
      <c r="B454">
        <v>2014</v>
      </c>
      <c r="C454">
        <v>3438</v>
      </c>
      <c r="D454">
        <v>2457</v>
      </c>
      <c r="E454">
        <v>39</v>
      </c>
      <c r="F454">
        <v>10001</v>
      </c>
      <c r="G454">
        <v>4052</v>
      </c>
      <c r="H454">
        <v>7696</v>
      </c>
      <c r="I454">
        <v>202</v>
      </c>
      <c r="J454">
        <f>SUM(C454:I454)</f>
        <v>27885</v>
      </c>
      <c r="L454"/>
    </row>
    <row r="455" spans="1:12" x14ac:dyDescent="0.35">
      <c r="A455" t="s">
        <v>45</v>
      </c>
      <c r="B455">
        <v>2014</v>
      </c>
      <c r="C455">
        <v>1980</v>
      </c>
      <c r="D455">
        <v>3895</v>
      </c>
      <c r="E455">
        <v>92</v>
      </c>
      <c r="F455">
        <v>3099</v>
      </c>
      <c r="G455">
        <v>458</v>
      </c>
      <c r="H455">
        <v>9626</v>
      </c>
      <c r="I455">
        <v>29</v>
      </c>
      <c r="J455">
        <f>SUM(C455:I455)</f>
        <v>19179</v>
      </c>
      <c r="L455"/>
    </row>
    <row r="456" spans="1:12" x14ac:dyDescent="0.35">
      <c r="A456" t="s">
        <v>76</v>
      </c>
      <c r="B456">
        <v>2014</v>
      </c>
      <c r="C456">
        <v>2096</v>
      </c>
      <c r="D456">
        <v>4034</v>
      </c>
      <c r="E456">
        <v>13</v>
      </c>
      <c r="F456">
        <v>4322</v>
      </c>
      <c r="G456">
        <v>1186</v>
      </c>
      <c r="H456">
        <v>3173</v>
      </c>
      <c r="I456">
        <v>8</v>
      </c>
      <c r="J456">
        <f>SUM(C456:I456)</f>
        <v>14832</v>
      </c>
      <c r="L456"/>
    </row>
    <row r="457" spans="1:12" x14ac:dyDescent="0.35">
      <c r="A457" t="s">
        <v>62</v>
      </c>
      <c r="B457">
        <v>2014</v>
      </c>
      <c r="C457">
        <v>1978</v>
      </c>
      <c r="D457">
        <v>2436</v>
      </c>
      <c r="E457">
        <v>646</v>
      </c>
      <c r="F457">
        <v>5543</v>
      </c>
      <c r="G457">
        <v>802</v>
      </c>
      <c r="H457">
        <v>3114</v>
      </c>
      <c r="I457">
        <v>32</v>
      </c>
      <c r="J457">
        <f>SUM(C457:I457)</f>
        <v>14551</v>
      </c>
      <c r="L457"/>
    </row>
    <row r="458" spans="1:12" x14ac:dyDescent="0.35">
      <c r="A458" t="s">
        <v>43</v>
      </c>
      <c r="B458">
        <v>2014</v>
      </c>
      <c r="C458">
        <v>961</v>
      </c>
      <c r="D458">
        <v>721</v>
      </c>
      <c r="E458">
        <v>468</v>
      </c>
      <c r="F458">
        <v>4547</v>
      </c>
      <c r="G458">
        <v>1072</v>
      </c>
      <c r="H458">
        <v>6362</v>
      </c>
      <c r="I458">
        <v>204</v>
      </c>
      <c r="J458">
        <f>SUM(C458:I458)</f>
        <v>14335</v>
      </c>
      <c r="L458"/>
    </row>
    <row r="459" spans="1:12" x14ac:dyDescent="0.35">
      <c r="A459" t="s">
        <v>46</v>
      </c>
      <c r="B459">
        <v>2014</v>
      </c>
      <c r="C459">
        <v>1127</v>
      </c>
      <c r="D459">
        <v>4735</v>
      </c>
      <c r="E459">
        <v>2203</v>
      </c>
      <c r="F459">
        <v>572</v>
      </c>
      <c r="G459">
        <v>271</v>
      </c>
      <c r="H459">
        <v>4672</v>
      </c>
      <c r="I459">
        <v>31</v>
      </c>
      <c r="J459">
        <f>SUM(C459:I459)</f>
        <v>13611</v>
      </c>
      <c r="L459"/>
    </row>
    <row r="460" spans="1:12" x14ac:dyDescent="0.35">
      <c r="A460" t="s">
        <v>54</v>
      </c>
      <c r="B460">
        <v>2014</v>
      </c>
      <c r="C460">
        <v>1324</v>
      </c>
      <c r="D460">
        <v>1457</v>
      </c>
      <c r="E460">
        <v>1730</v>
      </c>
      <c r="F460">
        <v>5263</v>
      </c>
      <c r="G460">
        <v>253</v>
      </c>
      <c r="H460">
        <v>3025</v>
      </c>
      <c r="I460">
        <v>388</v>
      </c>
      <c r="J460">
        <f>SUM(C460:I460)</f>
        <v>13440</v>
      </c>
      <c r="L460"/>
    </row>
    <row r="461" spans="1:12" x14ac:dyDescent="0.35">
      <c r="A461" t="s">
        <v>67</v>
      </c>
      <c r="B461">
        <v>2014</v>
      </c>
      <c r="C461">
        <v>979</v>
      </c>
      <c r="D461">
        <v>711</v>
      </c>
      <c r="E461">
        <v>563</v>
      </c>
      <c r="F461">
        <v>3188</v>
      </c>
      <c r="G461">
        <v>620</v>
      </c>
      <c r="H461">
        <v>6369</v>
      </c>
      <c r="I461">
        <v>192</v>
      </c>
      <c r="J461">
        <f>SUM(C461:I461)</f>
        <v>12622</v>
      </c>
      <c r="L461"/>
    </row>
    <row r="462" spans="1:12" x14ac:dyDescent="0.35">
      <c r="A462" t="s">
        <v>55</v>
      </c>
      <c r="B462">
        <v>2014</v>
      </c>
      <c r="C462">
        <v>1347</v>
      </c>
      <c r="D462">
        <v>143</v>
      </c>
      <c r="E462">
        <v>3</v>
      </c>
      <c r="F462">
        <v>4367</v>
      </c>
      <c r="G462">
        <v>980</v>
      </c>
      <c r="H462">
        <v>4919</v>
      </c>
      <c r="I462">
        <v>91</v>
      </c>
      <c r="J462">
        <f>SUM(C462:I462)</f>
        <v>11850</v>
      </c>
      <c r="L462"/>
    </row>
    <row r="463" spans="1:12" x14ac:dyDescent="0.35">
      <c r="A463" t="s">
        <v>49</v>
      </c>
      <c r="B463">
        <v>2014</v>
      </c>
      <c r="C463">
        <v>841</v>
      </c>
      <c r="D463">
        <v>2187</v>
      </c>
      <c r="E463">
        <v>53</v>
      </c>
      <c r="F463">
        <v>1352</v>
      </c>
      <c r="G463">
        <v>405</v>
      </c>
      <c r="H463">
        <v>5991</v>
      </c>
      <c r="I463">
        <v>45</v>
      </c>
      <c r="J463">
        <f>SUM(C463:I463)</f>
        <v>10874</v>
      </c>
      <c r="L463"/>
    </row>
    <row r="464" spans="1:12" x14ac:dyDescent="0.35">
      <c r="A464" t="s">
        <v>50</v>
      </c>
      <c r="B464">
        <v>2014</v>
      </c>
      <c r="C464">
        <v>1174</v>
      </c>
      <c r="D464">
        <v>1922</v>
      </c>
      <c r="E464">
        <v>13</v>
      </c>
      <c r="F464">
        <v>1688</v>
      </c>
      <c r="G464">
        <v>599</v>
      </c>
      <c r="H464">
        <v>3478</v>
      </c>
      <c r="I464">
        <v>43</v>
      </c>
      <c r="J464">
        <f>SUM(C464:I464)</f>
        <v>8917</v>
      </c>
      <c r="L464"/>
    </row>
    <row r="465" spans="1:12" x14ac:dyDescent="0.35">
      <c r="A465" t="s">
        <v>47</v>
      </c>
      <c r="B465">
        <v>2014</v>
      </c>
      <c r="C465">
        <v>1436</v>
      </c>
      <c r="D465">
        <v>1393</v>
      </c>
      <c r="E465">
        <v>8</v>
      </c>
      <c r="F465">
        <v>2122</v>
      </c>
      <c r="G465">
        <v>649</v>
      </c>
      <c r="H465">
        <v>964</v>
      </c>
      <c r="I465">
        <v>2</v>
      </c>
      <c r="J465">
        <f>SUM(C465:I465)</f>
        <v>6574</v>
      </c>
      <c r="L465"/>
    </row>
    <row r="466" spans="1:12" x14ac:dyDescent="0.35">
      <c r="A466" t="s">
        <v>66</v>
      </c>
      <c r="B466">
        <v>2014</v>
      </c>
      <c r="C466">
        <v>455</v>
      </c>
      <c r="D466">
        <v>1502</v>
      </c>
      <c r="E466">
        <v>292</v>
      </c>
      <c r="F466">
        <v>1102</v>
      </c>
      <c r="G466">
        <v>46</v>
      </c>
      <c r="H466">
        <v>2103</v>
      </c>
      <c r="I466">
        <v>471</v>
      </c>
      <c r="J466">
        <f>SUM(C466:I466)</f>
        <v>5971</v>
      </c>
      <c r="L466"/>
    </row>
    <row r="467" spans="1:12" x14ac:dyDescent="0.35">
      <c r="A467" t="s">
        <v>53</v>
      </c>
      <c r="B467">
        <v>2014</v>
      </c>
      <c r="C467">
        <v>1050</v>
      </c>
      <c r="D467">
        <v>885</v>
      </c>
      <c r="E467">
        <v>1538</v>
      </c>
      <c r="F467">
        <v>440</v>
      </c>
      <c r="G467">
        <v>114</v>
      </c>
      <c r="H467">
        <v>1462</v>
      </c>
      <c r="I467">
        <v>11</v>
      </c>
      <c r="J467">
        <f>SUM(C467:I467)</f>
        <v>5500</v>
      </c>
      <c r="L467"/>
    </row>
    <row r="468" spans="1:12" x14ac:dyDescent="0.35">
      <c r="A468" t="s">
        <v>63</v>
      </c>
      <c r="B468">
        <v>2014</v>
      </c>
      <c r="C468">
        <v>981</v>
      </c>
      <c r="D468">
        <v>1176</v>
      </c>
      <c r="E468">
        <v>5</v>
      </c>
      <c r="F468">
        <v>1113</v>
      </c>
      <c r="G468">
        <v>344</v>
      </c>
      <c r="H468">
        <v>1681</v>
      </c>
      <c r="I468">
        <v>63</v>
      </c>
      <c r="J468">
        <f>SUM(C468:I468)</f>
        <v>5363</v>
      </c>
      <c r="L468"/>
    </row>
    <row r="469" spans="1:12" x14ac:dyDescent="0.35">
      <c r="A469" t="s">
        <v>52</v>
      </c>
      <c r="B469">
        <v>2014</v>
      </c>
      <c r="C469">
        <v>331</v>
      </c>
      <c r="D469">
        <v>813</v>
      </c>
      <c r="E469">
        <v>1</v>
      </c>
      <c r="F469">
        <v>1421</v>
      </c>
      <c r="G469">
        <v>242</v>
      </c>
      <c r="H469">
        <v>467</v>
      </c>
      <c r="I469">
        <v>1</v>
      </c>
      <c r="J469">
        <f>SUM(C469:I469)</f>
        <v>3276</v>
      </c>
      <c r="L469"/>
    </row>
    <row r="470" spans="1:12" x14ac:dyDescent="0.35">
      <c r="A470" t="s">
        <v>68</v>
      </c>
      <c r="B470">
        <v>2014</v>
      </c>
      <c r="C470">
        <v>239</v>
      </c>
      <c r="D470">
        <v>102</v>
      </c>
      <c r="E470">
        <v>1</v>
      </c>
      <c r="F470">
        <v>492</v>
      </c>
      <c r="G470">
        <v>82</v>
      </c>
      <c r="H470">
        <v>702</v>
      </c>
      <c r="I470">
        <v>0</v>
      </c>
      <c r="J470">
        <f>SUM(C470:I470)</f>
        <v>1618</v>
      </c>
      <c r="L470"/>
    </row>
    <row r="471" spans="1:12" x14ac:dyDescent="0.35">
      <c r="A471" t="s">
        <v>51</v>
      </c>
      <c r="B471">
        <v>2014</v>
      </c>
      <c r="C471">
        <v>283</v>
      </c>
      <c r="D471">
        <v>227</v>
      </c>
      <c r="E471">
        <v>2</v>
      </c>
      <c r="F471">
        <v>538</v>
      </c>
      <c r="G471">
        <v>159</v>
      </c>
      <c r="H471">
        <v>325</v>
      </c>
      <c r="I471">
        <v>5</v>
      </c>
      <c r="J471">
        <f>SUM(C471:I471)</f>
        <v>1539</v>
      </c>
      <c r="L471"/>
    </row>
    <row r="472" spans="1:12" x14ac:dyDescent="0.35">
      <c r="A472" t="s">
        <v>70</v>
      </c>
      <c r="B472">
        <v>2014</v>
      </c>
      <c r="C472">
        <v>270</v>
      </c>
      <c r="D472">
        <v>275</v>
      </c>
      <c r="E472">
        <v>104</v>
      </c>
      <c r="F472">
        <v>343</v>
      </c>
      <c r="G472">
        <v>22</v>
      </c>
      <c r="H472">
        <v>301</v>
      </c>
      <c r="I472">
        <v>19</v>
      </c>
      <c r="J472">
        <f>SUM(C472:I472)</f>
        <v>1334</v>
      </c>
      <c r="L472"/>
    </row>
    <row r="473" spans="1:12" x14ac:dyDescent="0.35">
      <c r="A473" t="s">
        <v>48</v>
      </c>
      <c r="B473">
        <v>2014</v>
      </c>
      <c r="C473">
        <v>95</v>
      </c>
      <c r="D473">
        <v>86</v>
      </c>
      <c r="E473">
        <v>0</v>
      </c>
      <c r="F473">
        <v>202</v>
      </c>
      <c r="G473">
        <v>50</v>
      </c>
      <c r="H473">
        <v>35</v>
      </c>
      <c r="I473">
        <v>9</v>
      </c>
      <c r="J473">
        <f>SUM(C473:I473)</f>
        <v>477</v>
      </c>
      <c r="L473"/>
    </row>
    <row r="474" spans="1:12" x14ac:dyDescent="0.35">
      <c r="A474" t="s">
        <v>73</v>
      </c>
      <c r="B474">
        <v>2014</v>
      </c>
      <c r="C474">
        <v>59</v>
      </c>
      <c r="D474">
        <v>133</v>
      </c>
      <c r="E474">
        <v>2</v>
      </c>
      <c r="F474">
        <v>87</v>
      </c>
      <c r="G474">
        <v>31</v>
      </c>
      <c r="H474">
        <v>141</v>
      </c>
      <c r="I474">
        <v>0</v>
      </c>
      <c r="J474">
        <f>SUM(C474:I474)</f>
        <v>453</v>
      </c>
      <c r="L474"/>
    </row>
    <row r="475" spans="1:12" x14ac:dyDescent="0.35">
      <c r="A475" t="s">
        <v>44</v>
      </c>
      <c r="B475">
        <v>2014</v>
      </c>
      <c r="C475">
        <v>83</v>
      </c>
      <c r="D475">
        <v>91</v>
      </c>
      <c r="E475">
        <v>0</v>
      </c>
      <c r="F475">
        <v>121</v>
      </c>
      <c r="G475">
        <v>21</v>
      </c>
      <c r="H475">
        <v>42</v>
      </c>
      <c r="I475">
        <v>0</v>
      </c>
      <c r="J475">
        <f>SUM(C475:I475)</f>
        <v>358</v>
      </c>
      <c r="L475"/>
    </row>
    <row r="476" spans="1:12" x14ac:dyDescent="0.35">
      <c r="A476" t="s">
        <v>58</v>
      </c>
      <c r="B476">
        <v>2014</v>
      </c>
      <c r="C476">
        <v>75</v>
      </c>
      <c r="D476">
        <v>121</v>
      </c>
      <c r="E476">
        <v>0</v>
      </c>
      <c r="F476">
        <v>98</v>
      </c>
      <c r="G476">
        <v>5</v>
      </c>
      <c r="H476">
        <v>41</v>
      </c>
      <c r="I476">
        <v>0</v>
      </c>
      <c r="J476">
        <f>SUM(C476:I476)</f>
        <v>340</v>
      </c>
      <c r="L476"/>
    </row>
    <row r="477" spans="1:12" x14ac:dyDescent="0.35">
      <c r="A477" t="s">
        <v>59</v>
      </c>
      <c r="B477">
        <v>2014</v>
      </c>
      <c r="C477">
        <v>118</v>
      </c>
      <c r="D477">
        <v>38</v>
      </c>
      <c r="E477">
        <v>1</v>
      </c>
      <c r="F477">
        <v>105</v>
      </c>
      <c r="G477">
        <v>0</v>
      </c>
      <c r="H477">
        <v>42</v>
      </c>
      <c r="I477">
        <v>3</v>
      </c>
      <c r="J477">
        <f>SUM(C477:I477)</f>
        <v>307</v>
      </c>
      <c r="L477"/>
    </row>
    <row r="478" spans="1:12" x14ac:dyDescent="0.35">
      <c r="A478" t="s">
        <v>60</v>
      </c>
      <c r="B478">
        <v>2014</v>
      </c>
      <c r="C478">
        <v>120</v>
      </c>
      <c r="D478">
        <v>3</v>
      </c>
      <c r="E478">
        <v>0</v>
      </c>
      <c r="F478">
        <v>97</v>
      </c>
      <c r="G478">
        <v>53</v>
      </c>
      <c r="H478">
        <v>8</v>
      </c>
      <c r="I478">
        <v>0</v>
      </c>
      <c r="J478">
        <f>SUM(C478:I478)</f>
        <v>281</v>
      </c>
      <c r="L478"/>
    </row>
    <row r="479" spans="1:12" x14ac:dyDescent="0.35">
      <c r="A479" t="s">
        <v>72</v>
      </c>
      <c r="B479">
        <v>2014</v>
      </c>
      <c r="C479">
        <v>32</v>
      </c>
      <c r="D479">
        <v>17</v>
      </c>
      <c r="E479">
        <v>0</v>
      </c>
      <c r="F479">
        <v>41</v>
      </c>
      <c r="G479">
        <v>18</v>
      </c>
      <c r="H479">
        <v>14</v>
      </c>
      <c r="I479">
        <v>1</v>
      </c>
      <c r="J479">
        <f>SUM(C479:I479)</f>
        <v>123</v>
      </c>
      <c r="L479"/>
    </row>
    <row r="480" spans="1:12" x14ac:dyDescent="0.35">
      <c r="A480" t="s">
        <v>65</v>
      </c>
      <c r="B480">
        <v>2014</v>
      </c>
      <c r="C480">
        <v>47</v>
      </c>
      <c r="D480">
        <v>12</v>
      </c>
      <c r="E480">
        <v>0</v>
      </c>
      <c r="F480">
        <v>34</v>
      </c>
      <c r="G480">
        <v>14</v>
      </c>
      <c r="H480">
        <v>5</v>
      </c>
      <c r="I480">
        <v>0</v>
      </c>
      <c r="J480">
        <f>SUM(C480:I480)</f>
        <v>112</v>
      </c>
      <c r="L480"/>
    </row>
    <row r="481" spans="1:12" x14ac:dyDescent="0.35">
      <c r="A481" t="s">
        <v>78</v>
      </c>
      <c r="B481">
        <v>2014</v>
      </c>
      <c r="C481">
        <v>10</v>
      </c>
      <c r="D481">
        <v>7</v>
      </c>
      <c r="E481">
        <v>14</v>
      </c>
      <c r="F481">
        <v>32</v>
      </c>
      <c r="G481">
        <v>12</v>
      </c>
      <c r="H481">
        <v>4</v>
      </c>
      <c r="I481">
        <v>1</v>
      </c>
      <c r="J481">
        <f>SUM(C481:I481)</f>
        <v>80</v>
      </c>
      <c r="L481"/>
    </row>
    <row r="482" spans="1:12" x14ac:dyDescent="0.35">
      <c r="A482" t="s">
        <v>61</v>
      </c>
      <c r="B482">
        <v>2014</v>
      </c>
      <c r="C482">
        <v>30</v>
      </c>
      <c r="D482">
        <v>13</v>
      </c>
      <c r="E482">
        <v>0</v>
      </c>
      <c r="F482">
        <v>16</v>
      </c>
      <c r="G482">
        <v>5</v>
      </c>
      <c r="H482">
        <v>3</v>
      </c>
      <c r="I482">
        <v>1</v>
      </c>
      <c r="J482">
        <f>SUM(C482:I482)</f>
        <v>68</v>
      </c>
      <c r="L482"/>
    </row>
    <row r="483" spans="1:12" x14ac:dyDescent="0.35">
      <c r="A483" t="s">
        <v>74</v>
      </c>
      <c r="B483">
        <v>2014</v>
      </c>
      <c r="C483">
        <v>5</v>
      </c>
      <c r="D483">
        <v>7</v>
      </c>
      <c r="E483">
        <v>0</v>
      </c>
      <c r="F483">
        <v>2</v>
      </c>
      <c r="G483">
        <v>0</v>
      </c>
      <c r="H483">
        <v>6</v>
      </c>
      <c r="I483">
        <v>0</v>
      </c>
      <c r="J483">
        <f>SUM(C483:I483)</f>
        <v>20</v>
      </c>
      <c r="L483"/>
    </row>
    <row r="484" spans="1:12" x14ac:dyDescent="0.35">
      <c r="A484" t="s">
        <v>75</v>
      </c>
      <c r="B484">
        <v>2014</v>
      </c>
      <c r="C484">
        <v>2</v>
      </c>
      <c r="D484">
        <v>1</v>
      </c>
      <c r="E484">
        <v>0</v>
      </c>
      <c r="F484">
        <v>3</v>
      </c>
      <c r="G484">
        <v>3</v>
      </c>
      <c r="H484">
        <v>1</v>
      </c>
      <c r="I484">
        <v>8</v>
      </c>
      <c r="J484">
        <f>SUM(C484:I484)</f>
        <v>18</v>
      </c>
      <c r="L484"/>
    </row>
    <row r="485" spans="1:12" x14ac:dyDescent="0.35">
      <c r="A485" t="s">
        <v>77</v>
      </c>
      <c r="B485">
        <v>2014</v>
      </c>
      <c r="C485">
        <v>1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f>SUM(C485:I485)</f>
        <v>2</v>
      </c>
      <c r="L485"/>
    </row>
    <row r="486" spans="1:12" x14ac:dyDescent="0.35">
      <c r="A486" t="s">
        <v>69</v>
      </c>
      <c r="B486">
        <v>2015</v>
      </c>
      <c r="C486">
        <v>3025</v>
      </c>
      <c r="D486">
        <v>10135</v>
      </c>
      <c r="E486">
        <v>2335</v>
      </c>
      <c r="F486">
        <v>7885</v>
      </c>
      <c r="G486">
        <v>5925</v>
      </c>
      <c r="H486">
        <v>8660</v>
      </c>
      <c r="I486">
        <v>33</v>
      </c>
      <c r="J486">
        <f>SUM(C486:I486)</f>
        <v>37998</v>
      </c>
      <c r="L486"/>
    </row>
    <row r="487" spans="1:12" x14ac:dyDescent="0.35">
      <c r="A487" t="s">
        <v>57</v>
      </c>
      <c r="B487">
        <v>2015</v>
      </c>
      <c r="C487">
        <v>4144</v>
      </c>
      <c r="D487">
        <v>5096</v>
      </c>
      <c r="E487">
        <v>268</v>
      </c>
      <c r="F487">
        <v>11713</v>
      </c>
      <c r="G487">
        <v>4751</v>
      </c>
      <c r="H487">
        <v>7640</v>
      </c>
      <c r="I487">
        <v>381</v>
      </c>
      <c r="J487">
        <f>SUM(C487:I487)</f>
        <v>33993</v>
      </c>
      <c r="L487"/>
    </row>
    <row r="488" spans="1:12" x14ac:dyDescent="0.35">
      <c r="A488" t="s">
        <v>71</v>
      </c>
      <c r="B488">
        <v>2015</v>
      </c>
      <c r="C488">
        <v>1199</v>
      </c>
      <c r="D488">
        <v>3938</v>
      </c>
      <c r="E488">
        <v>498</v>
      </c>
      <c r="F488">
        <v>5069</v>
      </c>
      <c r="G488">
        <v>674</v>
      </c>
      <c r="H488">
        <v>20163</v>
      </c>
      <c r="I488">
        <v>101</v>
      </c>
      <c r="J488">
        <f>SUM(C488:I488)</f>
        <v>31642</v>
      </c>
      <c r="L488"/>
    </row>
    <row r="489" spans="1:12" x14ac:dyDescent="0.35">
      <c r="A489" t="s">
        <v>64</v>
      </c>
      <c r="B489">
        <v>2015</v>
      </c>
      <c r="C489">
        <v>3644</v>
      </c>
      <c r="D489">
        <v>4167</v>
      </c>
      <c r="E489">
        <v>463</v>
      </c>
      <c r="F489">
        <v>4813</v>
      </c>
      <c r="G489">
        <v>649</v>
      </c>
      <c r="H489">
        <v>14383</v>
      </c>
      <c r="I489">
        <v>86</v>
      </c>
      <c r="J489">
        <f>SUM(C489:I489)</f>
        <v>28205</v>
      </c>
      <c r="L489"/>
    </row>
    <row r="490" spans="1:12" x14ac:dyDescent="0.35">
      <c r="A490" t="s">
        <v>56</v>
      </c>
      <c r="B490">
        <v>2015</v>
      </c>
      <c r="C490">
        <v>4391</v>
      </c>
      <c r="D490">
        <v>4547</v>
      </c>
      <c r="E490">
        <v>664</v>
      </c>
      <c r="F490">
        <v>8049</v>
      </c>
      <c r="G490">
        <v>2559</v>
      </c>
      <c r="H490">
        <v>5281</v>
      </c>
      <c r="I490">
        <v>25</v>
      </c>
      <c r="J490">
        <f>SUM(C490:I490)</f>
        <v>25516</v>
      </c>
      <c r="L490"/>
    </row>
    <row r="491" spans="1:12" x14ac:dyDescent="0.35">
      <c r="A491" t="s">
        <v>45</v>
      </c>
      <c r="B491">
        <v>2015</v>
      </c>
      <c r="C491">
        <v>1733</v>
      </c>
      <c r="D491">
        <v>5039</v>
      </c>
      <c r="E491">
        <v>216</v>
      </c>
      <c r="F491">
        <v>4293</v>
      </c>
      <c r="G491">
        <v>499</v>
      </c>
      <c r="H491">
        <v>11225</v>
      </c>
      <c r="I491">
        <v>47</v>
      </c>
      <c r="J491">
        <f>SUM(C491:I491)</f>
        <v>23052</v>
      </c>
      <c r="L491"/>
    </row>
    <row r="492" spans="1:12" x14ac:dyDescent="0.35">
      <c r="A492" t="s">
        <v>76</v>
      </c>
      <c r="B492">
        <v>2015</v>
      </c>
      <c r="C492">
        <v>2199</v>
      </c>
      <c r="D492">
        <v>4301</v>
      </c>
      <c r="E492">
        <v>122</v>
      </c>
      <c r="F492">
        <v>5367</v>
      </c>
      <c r="G492">
        <v>1150</v>
      </c>
      <c r="H492">
        <v>3521</v>
      </c>
      <c r="I492">
        <v>3</v>
      </c>
      <c r="J492">
        <f>SUM(C492:I492)</f>
        <v>16663</v>
      </c>
      <c r="L492"/>
    </row>
    <row r="493" spans="1:12" x14ac:dyDescent="0.35">
      <c r="A493" t="s">
        <v>62</v>
      </c>
      <c r="B493">
        <v>2015</v>
      </c>
      <c r="C493">
        <v>2251</v>
      </c>
      <c r="D493">
        <v>2587</v>
      </c>
      <c r="E493">
        <v>356</v>
      </c>
      <c r="F493">
        <v>6499</v>
      </c>
      <c r="G493">
        <v>886</v>
      </c>
      <c r="H493">
        <v>3605</v>
      </c>
      <c r="I493">
        <v>35</v>
      </c>
      <c r="J493">
        <f>SUM(C493:I493)</f>
        <v>16219</v>
      </c>
      <c r="L493"/>
    </row>
    <row r="494" spans="1:12" x14ac:dyDescent="0.35">
      <c r="A494" t="s">
        <v>43</v>
      </c>
      <c r="B494">
        <v>2015</v>
      </c>
      <c r="C494">
        <v>1027</v>
      </c>
      <c r="D494">
        <v>684</v>
      </c>
      <c r="E494">
        <v>174</v>
      </c>
      <c r="F494">
        <v>4616</v>
      </c>
      <c r="G494">
        <v>1070</v>
      </c>
      <c r="H494">
        <v>6121</v>
      </c>
      <c r="I494">
        <v>204</v>
      </c>
      <c r="J494">
        <f>SUM(C494:I494)</f>
        <v>13896</v>
      </c>
      <c r="L494"/>
    </row>
    <row r="495" spans="1:12" x14ac:dyDescent="0.35">
      <c r="A495" t="s">
        <v>67</v>
      </c>
      <c r="B495">
        <v>2015</v>
      </c>
      <c r="C495">
        <v>1105</v>
      </c>
      <c r="D495">
        <v>648</v>
      </c>
      <c r="E495">
        <v>262</v>
      </c>
      <c r="F495">
        <v>3608</v>
      </c>
      <c r="G495">
        <v>620</v>
      </c>
      <c r="H495">
        <v>7329</v>
      </c>
      <c r="I495">
        <v>252</v>
      </c>
      <c r="J495">
        <f>SUM(C495:I495)</f>
        <v>13824</v>
      </c>
      <c r="L495"/>
    </row>
    <row r="496" spans="1:12" x14ac:dyDescent="0.35">
      <c r="A496" t="s">
        <v>46</v>
      </c>
      <c r="B496">
        <v>2015</v>
      </c>
      <c r="C496">
        <v>1041</v>
      </c>
      <c r="D496">
        <v>5158</v>
      </c>
      <c r="E496">
        <v>1154</v>
      </c>
      <c r="F496">
        <v>198</v>
      </c>
      <c r="G496">
        <v>78</v>
      </c>
      <c r="H496">
        <v>3792</v>
      </c>
      <c r="I496">
        <v>21</v>
      </c>
      <c r="J496">
        <f>SUM(C496:I496)</f>
        <v>11442</v>
      </c>
      <c r="L496"/>
    </row>
    <row r="497" spans="1:12" x14ac:dyDescent="0.35">
      <c r="A497" t="s">
        <v>54</v>
      </c>
      <c r="B497">
        <v>2015</v>
      </c>
      <c r="C497">
        <v>589</v>
      </c>
      <c r="D497">
        <v>1611</v>
      </c>
      <c r="E497">
        <v>254</v>
      </c>
      <c r="F497">
        <v>5112</v>
      </c>
      <c r="G497">
        <v>535</v>
      </c>
      <c r="H497">
        <v>2732</v>
      </c>
      <c r="I497">
        <v>420</v>
      </c>
      <c r="J497">
        <f>SUM(C497:I497)</f>
        <v>11253</v>
      </c>
      <c r="L497"/>
    </row>
    <row r="498" spans="1:12" x14ac:dyDescent="0.35">
      <c r="A498" t="s">
        <v>55</v>
      </c>
      <c r="B498">
        <v>2015</v>
      </c>
      <c r="C498">
        <v>1256</v>
      </c>
      <c r="D498">
        <v>192</v>
      </c>
      <c r="E498">
        <v>8</v>
      </c>
      <c r="F498">
        <v>3987</v>
      </c>
      <c r="G498">
        <v>1145</v>
      </c>
      <c r="H498">
        <v>3668</v>
      </c>
      <c r="I498">
        <v>135</v>
      </c>
      <c r="J498">
        <f>SUM(C498:I498)</f>
        <v>10391</v>
      </c>
      <c r="L498"/>
    </row>
    <row r="499" spans="1:12" x14ac:dyDescent="0.35">
      <c r="A499" t="s">
        <v>50</v>
      </c>
      <c r="B499">
        <v>2015</v>
      </c>
      <c r="C499">
        <v>1070</v>
      </c>
      <c r="D499">
        <v>2336</v>
      </c>
      <c r="E499">
        <v>243</v>
      </c>
      <c r="F499">
        <v>1886</v>
      </c>
      <c r="G499">
        <v>688</v>
      </c>
      <c r="H499">
        <v>3525</v>
      </c>
      <c r="I499">
        <v>44</v>
      </c>
      <c r="J499">
        <f>SUM(C499:I499)</f>
        <v>9792</v>
      </c>
      <c r="L499"/>
    </row>
    <row r="500" spans="1:12" x14ac:dyDescent="0.35">
      <c r="A500" t="s">
        <v>49</v>
      </c>
      <c r="B500">
        <v>2015</v>
      </c>
      <c r="C500">
        <v>503</v>
      </c>
      <c r="D500">
        <v>1569</v>
      </c>
      <c r="E500">
        <v>12</v>
      </c>
      <c r="F500">
        <v>1164</v>
      </c>
      <c r="G500">
        <v>536</v>
      </c>
      <c r="H500">
        <v>4133</v>
      </c>
      <c r="I500">
        <v>35</v>
      </c>
      <c r="J500">
        <f>SUM(C500:I500)</f>
        <v>7952</v>
      </c>
      <c r="L500"/>
    </row>
    <row r="501" spans="1:12" x14ac:dyDescent="0.35">
      <c r="A501" t="s">
        <v>47</v>
      </c>
      <c r="B501">
        <v>2015</v>
      </c>
      <c r="C501">
        <v>1560</v>
      </c>
      <c r="D501">
        <v>1354</v>
      </c>
      <c r="E501">
        <v>89</v>
      </c>
      <c r="F501">
        <v>1868</v>
      </c>
      <c r="G501">
        <v>507</v>
      </c>
      <c r="H501">
        <v>620</v>
      </c>
      <c r="I501">
        <v>4</v>
      </c>
      <c r="J501">
        <f>SUM(C501:I501)</f>
        <v>6002</v>
      </c>
      <c r="L501"/>
    </row>
    <row r="502" spans="1:12" x14ac:dyDescent="0.35">
      <c r="A502" t="s">
        <v>66</v>
      </c>
      <c r="B502">
        <v>2015</v>
      </c>
      <c r="C502">
        <v>421</v>
      </c>
      <c r="D502">
        <v>1335</v>
      </c>
      <c r="E502">
        <v>65</v>
      </c>
      <c r="F502">
        <v>1163</v>
      </c>
      <c r="G502">
        <v>197</v>
      </c>
      <c r="H502">
        <v>1900</v>
      </c>
      <c r="I502">
        <v>491</v>
      </c>
      <c r="J502">
        <f>SUM(C502:I502)</f>
        <v>5572</v>
      </c>
      <c r="L502"/>
    </row>
    <row r="503" spans="1:12" x14ac:dyDescent="0.35">
      <c r="A503" t="s">
        <v>63</v>
      </c>
      <c r="B503">
        <v>2015</v>
      </c>
      <c r="C503">
        <v>886</v>
      </c>
      <c r="D503">
        <v>1253</v>
      </c>
      <c r="E503">
        <v>85</v>
      </c>
      <c r="F503">
        <v>1123</v>
      </c>
      <c r="G503">
        <v>400</v>
      </c>
      <c r="H503">
        <v>1583</v>
      </c>
      <c r="I503">
        <v>69</v>
      </c>
      <c r="J503">
        <f>SUM(C503:I503)</f>
        <v>5399</v>
      </c>
      <c r="L503"/>
    </row>
    <row r="504" spans="1:12" x14ac:dyDescent="0.35">
      <c r="A504" t="s">
        <v>53</v>
      </c>
      <c r="B504">
        <v>2015</v>
      </c>
      <c r="C504">
        <v>1053</v>
      </c>
      <c r="D504">
        <v>930</v>
      </c>
      <c r="E504">
        <v>267</v>
      </c>
      <c r="F504">
        <v>844</v>
      </c>
      <c r="G504">
        <v>531</v>
      </c>
      <c r="H504">
        <v>1654</v>
      </c>
      <c r="I504">
        <v>3</v>
      </c>
      <c r="J504">
        <f>SUM(C504:I504)</f>
        <v>5282</v>
      </c>
      <c r="L504"/>
    </row>
    <row r="505" spans="1:12" x14ac:dyDescent="0.35">
      <c r="A505" t="s">
        <v>52</v>
      </c>
      <c r="B505">
        <v>2015</v>
      </c>
      <c r="C505">
        <v>296</v>
      </c>
      <c r="D505">
        <v>1071</v>
      </c>
      <c r="E505">
        <v>6</v>
      </c>
      <c r="F505">
        <v>1343</v>
      </c>
      <c r="G505">
        <v>244</v>
      </c>
      <c r="H505">
        <v>400</v>
      </c>
      <c r="I505">
        <v>0</v>
      </c>
      <c r="J505">
        <f>SUM(C505:I505)</f>
        <v>3360</v>
      </c>
      <c r="L505"/>
    </row>
    <row r="506" spans="1:12" x14ac:dyDescent="0.35">
      <c r="A506" t="s">
        <v>70</v>
      </c>
      <c r="B506">
        <v>2015</v>
      </c>
      <c r="C506">
        <v>283</v>
      </c>
      <c r="D506">
        <v>336</v>
      </c>
      <c r="E506">
        <v>54</v>
      </c>
      <c r="F506">
        <v>318</v>
      </c>
      <c r="G506">
        <v>51</v>
      </c>
      <c r="H506">
        <v>407</v>
      </c>
      <c r="I506">
        <v>18</v>
      </c>
      <c r="J506">
        <f>SUM(C506:I506)</f>
        <v>1467</v>
      </c>
      <c r="L506"/>
    </row>
    <row r="507" spans="1:12" x14ac:dyDescent="0.35">
      <c r="A507" t="s">
        <v>51</v>
      </c>
      <c r="B507">
        <v>2015</v>
      </c>
      <c r="C507">
        <v>244</v>
      </c>
      <c r="D507">
        <v>239</v>
      </c>
      <c r="E507">
        <v>2</v>
      </c>
      <c r="F507">
        <v>434</v>
      </c>
      <c r="G507">
        <v>99</v>
      </c>
      <c r="H507">
        <v>226</v>
      </c>
      <c r="I507">
        <v>6</v>
      </c>
      <c r="J507">
        <f>SUM(C507:I507)</f>
        <v>1250</v>
      </c>
      <c r="L507"/>
    </row>
    <row r="508" spans="1:12" x14ac:dyDescent="0.35">
      <c r="A508" t="s">
        <v>68</v>
      </c>
      <c r="B508">
        <v>2015</v>
      </c>
      <c r="C508">
        <v>213</v>
      </c>
      <c r="D508">
        <v>120</v>
      </c>
      <c r="E508">
        <v>28</v>
      </c>
      <c r="F508">
        <v>352</v>
      </c>
      <c r="G508">
        <v>28</v>
      </c>
      <c r="H508">
        <v>501</v>
      </c>
      <c r="I508">
        <v>2</v>
      </c>
      <c r="J508">
        <f>SUM(C508:I508)</f>
        <v>1244</v>
      </c>
      <c r="L508"/>
    </row>
    <row r="509" spans="1:12" x14ac:dyDescent="0.35">
      <c r="A509" t="s">
        <v>73</v>
      </c>
      <c r="B509">
        <v>2015</v>
      </c>
      <c r="C509">
        <v>72</v>
      </c>
      <c r="D509">
        <v>165</v>
      </c>
      <c r="E509">
        <v>5</v>
      </c>
      <c r="F509">
        <v>76</v>
      </c>
      <c r="G509">
        <v>22</v>
      </c>
      <c r="H509">
        <v>126</v>
      </c>
      <c r="I509">
        <v>0</v>
      </c>
      <c r="J509">
        <f>SUM(C509:I509)</f>
        <v>466</v>
      </c>
      <c r="L509"/>
    </row>
    <row r="510" spans="1:12" x14ac:dyDescent="0.35">
      <c r="A510" t="s">
        <v>48</v>
      </c>
      <c r="B510">
        <v>2015</v>
      </c>
      <c r="C510">
        <v>86</v>
      </c>
      <c r="D510">
        <v>70</v>
      </c>
      <c r="E510">
        <v>0</v>
      </c>
      <c r="F510">
        <v>150</v>
      </c>
      <c r="G510">
        <v>58</v>
      </c>
      <c r="H510">
        <v>19</v>
      </c>
      <c r="I510">
        <v>3</v>
      </c>
      <c r="J510">
        <f>SUM(C510:I510)</f>
        <v>386</v>
      </c>
      <c r="L510"/>
    </row>
    <row r="511" spans="1:12" x14ac:dyDescent="0.35">
      <c r="A511" t="s">
        <v>44</v>
      </c>
      <c r="B511">
        <v>2015</v>
      </c>
      <c r="C511">
        <v>71</v>
      </c>
      <c r="D511">
        <v>128</v>
      </c>
      <c r="E511">
        <v>0</v>
      </c>
      <c r="F511">
        <v>101</v>
      </c>
      <c r="G511">
        <v>15</v>
      </c>
      <c r="H511">
        <v>66</v>
      </c>
      <c r="I511">
        <v>2</v>
      </c>
      <c r="J511">
        <f>SUM(C511:I511)</f>
        <v>383</v>
      </c>
      <c r="L511"/>
    </row>
    <row r="512" spans="1:12" x14ac:dyDescent="0.35">
      <c r="A512" t="s">
        <v>59</v>
      </c>
      <c r="B512">
        <v>2015</v>
      </c>
      <c r="C512">
        <v>93</v>
      </c>
      <c r="D512">
        <v>58</v>
      </c>
      <c r="E512">
        <v>1</v>
      </c>
      <c r="F512">
        <v>95</v>
      </c>
      <c r="G512">
        <v>22</v>
      </c>
      <c r="H512">
        <v>44</v>
      </c>
      <c r="I512">
        <v>0</v>
      </c>
      <c r="J512">
        <f>SUM(C512:I512)</f>
        <v>313</v>
      </c>
      <c r="L512"/>
    </row>
    <row r="513" spans="1:12" x14ac:dyDescent="0.35">
      <c r="A513" t="s">
        <v>58</v>
      </c>
      <c r="B513">
        <v>2015</v>
      </c>
      <c r="C513">
        <v>46</v>
      </c>
      <c r="D513">
        <v>94</v>
      </c>
      <c r="E513">
        <v>0</v>
      </c>
      <c r="F513">
        <v>84</v>
      </c>
      <c r="G513">
        <v>2</v>
      </c>
      <c r="H513">
        <v>39</v>
      </c>
      <c r="I513">
        <v>0</v>
      </c>
      <c r="J513">
        <f>SUM(C513:I513)</f>
        <v>265</v>
      </c>
      <c r="L513"/>
    </row>
    <row r="514" spans="1:12" x14ac:dyDescent="0.35">
      <c r="A514" t="s">
        <v>60</v>
      </c>
      <c r="B514">
        <v>2015</v>
      </c>
      <c r="C514">
        <v>58</v>
      </c>
      <c r="D514">
        <v>8</v>
      </c>
      <c r="E514">
        <v>0</v>
      </c>
      <c r="F514">
        <v>75</v>
      </c>
      <c r="G514">
        <v>53</v>
      </c>
      <c r="H514">
        <v>9</v>
      </c>
      <c r="I514">
        <v>0</v>
      </c>
      <c r="J514">
        <f>SUM(C514:I514)</f>
        <v>203</v>
      </c>
      <c r="L514"/>
    </row>
    <row r="515" spans="1:12" x14ac:dyDescent="0.35">
      <c r="A515" t="s">
        <v>72</v>
      </c>
      <c r="B515">
        <v>2015</v>
      </c>
      <c r="C515">
        <v>36</v>
      </c>
      <c r="D515">
        <v>21</v>
      </c>
      <c r="E515">
        <v>0</v>
      </c>
      <c r="F515">
        <v>57</v>
      </c>
      <c r="G515">
        <v>23</v>
      </c>
      <c r="H515">
        <v>14</v>
      </c>
      <c r="I515">
        <v>0</v>
      </c>
      <c r="J515">
        <f>SUM(C515:I515)</f>
        <v>151</v>
      </c>
      <c r="L515"/>
    </row>
    <row r="516" spans="1:12" x14ac:dyDescent="0.35">
      <c r="A516" t="s">
        <v>61</v>
      </c>
      <c r="B516">
        <v>2015</v>
      </c>
      <c r="C516">
        <v>35</v>
      </c>
      <c r="D516">
        <v>30</v>
      </c>
      <c r="E516">
        <v>0</v>
      </c>
      <c r="F516">
        <v>8</v>
      </c>
      <c r="G516">
        <v>6</v>
      </c>
      <c r="H516">
        <v>4</v>
      </c>
      <c r="I516">
        <v>3</v>
      </c>
      <c r="J516">
        <f>SUM(C516:I516)</f>
        <v>86</v>
      </c>
      <c r="L516"/>
    </row>
    <row r="517" spans="1:12" x14ac:dyDescent="0.35">
      <c r="A517" t="s">
        <v>78</v>
      </c>
      <c r="B517">
        <v>2015</v>
      </c>
      <c r="C517">
        <v>3</v>
      </c>
      <c r="D517">
        <v>14</v>
      </c>
      <c r="E517">
        <v>1</v>
      </c>
      <c r="F517">
        <v>33</v>
      </c>
      <c r="G517">
        <v>10</v>
      </c>
      <c r="H517">
        <v>4</v>
      </c>
      <c r="I517">
        <v>1</v>
      </c>
      <c r="J517">
        <f>SUM(C517:I517)</f>
        <v>66</v>
      </c>
      <c r="L517"/>
    </row>
    <row r="518" spans="1:12" x14ac:dyDescent="0.35">
      <c r="A518" t="s">
        <v>65</v>
      </c>
      <c r="B518">
        <v>2015</v>
      </c>
      <c r="C518">
        <v>5</v>
      </c>
      <c r="D518">
        <v>21</v>
      </c>
      <c r="E518">
        <v>1</v>
      </c>
      <c r="F518">
        <v>21</v>
      </c>
      <c r="G518">
        <v>5</v>
      </c>
      <c r="H518">
        <v>2</v>
      </c>
      <c r="I518">
        <v>0</v>
      </c>
      <c r="J518">
        <f>SUM(C518:I518)</f>
        <v>55</v>
      </c>
      <c r="L518"/>
    </row>
    <row r="519" spans="1:12" x14ac:dyDescent="0.35">
      <c r="A519" t="s">
        <v>75</v>
      </c>
      <c r="B519">
        <v>2015</v>
      </c>
      <c r="C519">
        <v>5</v>
      </c>
      <c r="D519">
        <v>13</v>
      </c>
      <c r="E519">
        <v>0</v>
      </c>
      <c r="F519">
        <v>7</v>
      </c>
      <c r="G519">
        <v>3</v>
      </c>
      <c r="H519">
        <v>3</v>
      </c>
      <c r="I519">
        <v>0</v>
      </c>
      <c r="J519">
        <f>SUM(C519:I519)</f>
        <v>31</v>
      </c>
      <c r="L519"/>
    </row>
    <row r="520" spans="1:12" x14ac:dyDescent="0.35">
      <c r="A520" t="s">
        <v>74</v>
      </c>
      <c r="B520">
        <v>2015</v>
      </c>
      <c r="C520">
        <v>8</v>
      </c>
      <c r="D520">
        <v>9</v>
      </c>
      <c r="E520">
        <v>1</v>
      </c>
      <c r="F520">
        <v>5</v>
      </c>
      <c r="G520">
        <v>0</v>
      </c>
      <c r="H520">
        <v>2</v>
      </c>
      <c r="I520">
        <v>0</v>
      </c>
      <c r="J520">
        <f>SUM(C520:I520)</f>
        <v>25</v>
      </c>
      <c r="L520"/>
    </row>
    <row r="521" spans="1:12" x14ac:dyDescent="0.35">
      <c r="A521" t="s">
        <v>77</v>
      </c>
      <c r="B521">
        <v>2015</v>
      </c>
      <c r="C521">
        <v>0</v>
      </c>
      <c r="D521">
        <v>0</v>
      </c>
      <c r="E521">
        <v>0</v>
      </c>
      <c r="F521">
        <v>6</v>
      </c>
      <c r="G521">
        <v>0</v>
      </c>
      <c r="H521">
        <v>2</v>
      </c>
      <c r="I521">
        <v>0</v>
      </c>
      <c r="J521">
        <f>SUM(C521:I521)</f>
        <v>8</v>
      </c>
      <c r="L521"/>
    </row>
    <row r="522" spans="1:12" x14ac:dyDescent="0.35">
      <c r="A522" t="s">
        <v>69</v>
      </c>
      <c r="B522">
        <v>2016</v>
      </c>
      <c r="C522">
        <v>4816</v>
      </c>
      <c r="D522">
        <v>12994</v>
      </c>
      <c r="E522">
        <v>2473</v>
      </c>
      <c r="F522">
        <v>11335</v>
      </c>
      <c r="G522">
        <v>9422</v>
      </c>
      <c r="H522">
        <v>11156</v>
      </c>
      <c r="I522">
        <v>50</v>
      </c>
      <c r="J522">
        <f>SUM(C522:I522)</f>
        <v>52246</v>
      </c>
      <c r="L522"/>
    </row>
    <row r="523" spans="1:12" x14ac:dyDescent="0.35">
      <c r="A523" t="s">
        <v>57</v>
      </c>
      <c r="B523">
        <v>2016</v>
      </c>
      <c r="C523">
        <v>4189</v>
      </c>
      <c r="D523">
        <v>6170</v>
      </c>
      <c r="E523">
        <v>248</v>
      </c>
      <c r="F523">
        <v>11396</v>
      </c>
      <c r="G523">
        <v>4057</v>
      </c>
      <c r="H523">
        <v>7215</v>
      </c>
      <c r="I523">
        <v>303</v>
      </c>
      <c r="J523">
        <f>SUM(C523:I523)</f>
        <v>33578</v>
      </c>
      <c r="L523"/>
    </row>
    <row r="524" spans="1:12" x14ac:dyDescent="0.35">
      <c r="A524" t="s">
        <v>71</v>
      </c>
      <c r="B524">
        <v>2016</v>
      </c>
      <c r="C524">
        <v>1110</v>
      </c>
      <c r="D524">
        <v>4494</v>
      </c>
      <c r="E524">
        <v>535</v>
      </c>
      <c r="F524">
        <v>4177</v>
      </c>
      <c r="G524">
        <v>663</v>
      </c>
      <c r="H524">
        <v>19302</v>
      </c>
      <c r="I524">
        <v>87</v>
      </c>
      <c r="J524">
        <f>SUM(C524:I524)</f>
        <v>30368</v>
      </c>
      <c r="L524"/>
    </row>
    <row r="525" spans="1:12" x14ac:dyDescent="0.35">
      <c r="A525" t="s">
        <v>56</v>
      </c>
      <c r="B525">
        <v>2016</v>
      </c>
      <c r="C525">
        <v>4882</v>
      </c>
      <c r="D525">
        <v>4904</v>
      </c>
      <c r="E525">
        <v>629</v>
      </c>
      <c r="F525">
        <v>8717</v>
      </c>
      <c r="G525">
        <v>3128</v>
      </c>
      <c r="H525">
        <v>6264</v>
      </c>
      <c r="I525">
        <v>20</v>
      </c>
      <c r="J525">
        <f>SUM(C525:I525)</f>
        <v>28544</v>
      </c>
      <c r="L525"/>
    </row>
    <row r="526" spans="1:12" x14ac:dyDescent="0.35">
      <c r="A526" t="s">
        <v>64</v>
      </c>
      <c r="B526">
        <v>2016</v>
      </c>
      <c r="C526">
        <v>3656</v>
      </c>
      <c r="D526">
        <v>4010</v>
      </c>
      <c r="E526">
        <v>462</v>
      </c>
      <c r="F526">
        <v>4839</v>
      </c>
      <c r="G526">
        <v>483</v>
      </c>
      <c r="H526">
        <v>13811</v>
      </c>
      <c r="I526">
        <v>56</v>
      </c>
      <c r="J526">
        <f>SUM(C526:I526)</f>
        <v>27317</v>
      </c>
      <c r="L526"/>
    </row>
    <row r="527" spans="1:12" x14ac:dyDescent="0.35">
      <c r="A527" t="s">
        <v>45</v>
      </c>
      <c r="B527">
        <v>2016</v>
      </c>
      <c r="C527">
        <v>1779</v>
      </c>
      <c r="D527">
        <v>5339</v>
      </c>
      <c r="E527">
        <v>157</v>
      </c>
      <c r="F527">
        <v>3378</v>
      </c>
      <c r="G527">
        <v>677</v>
      </c>
      <c r="H527">
        <v>9321</v>
      </c>
      <c r="I527">
        <v>65</v>
      </c>
      <c r="J527">
        <f>SUM(C527:I527)</f>
        <v>20716</v>
      </c>
      <c r="L527"/>
    </row>
    <row r="528" spans="1:12" x14ac:dyDescent="0.35">
      <c r="A528" t="s">
        <v>62</v>
      </c>
      <c r="B528">
        <v>2016</v>
      </c>
      <c r="C528">
        <v>1983</v>
      </c>
      <c r="D528">
        <v>2291</v>
      </c>
      <c r="E528">
        <v>397</v>
      </c>
      <c r="F528">
        <v>8252</v>
      </c>
      <c r="G528">
        <v>979</v>
      </c>
      <c r="H528">
        <v>2781</v>
      </c>
      <c r="I528">
        <v>38</v>
      </c>
      <c r="J528">
        <f>SUM(C528:I528)</f>
        <v>16721</v>
      </c>
      <c r="L528"/>
    </row>
    <row r="529" spans="1:12" x14ac:dyDescent="0.35">
      <c r="A529" t="s">
        <v>76</v>
      </c>
      <c r="B529">
        <v>2016</v>
      </c>
      <c r="C529">
        <v>2155</v>
      </c>
      <c r="D529">
        <v>3891</v>
      </c>
      <c r="E529">
        <v>162</v>
      </c>
      <c r="F529">
        <v>4165</v>
      </c>
      <c r="G529">
        <v>796</v>
      </c>
      <c r="H529">
        <v>3877</v>
      </c>
      <c r="I529">
        <v>4</v>
      </c>
      <c r="J529">
        <f>SUM(C529:I529)</f>
        <v>15050</v>
      </c>
      <c r="L529"/>
    </row>
    <row r="530" spans="1:12" x14ac:dyDescent="0.35">
      <c r="A530" t="s">
        <v>43</v>
      </c>
      <c r="B530">
        <v>2016</v>
      </c>
      <c r="C530">
        <v>994</v>
      </c>
      <c r="D530">
        <v>626</v>
      </c>
      <c r="E530">
        <v>193</v>
      </c>
      <c r="F530">
        <v>4829</v>
      </c>
      <c r="G530">
        <v>1305</v>
      </c>
      <c r="H530">
        <v>6461</v>
      </c>
      <c r="I530">
        <v>186</v>
      </c>
      <c r="J530">
        <f>SUM(C530:I530)</f>
        <v>14594</v>
      </c>
      <c r="L530"/>
    </row>
    <row r="531" spans="1:12" x14ac:dyDescent="0.35">
      <c r="A531" t="s">
        <v>67</v>
      </c>
      <c r="B531">
        <v>2016</v>
      </c>
      <c r="C531">
        <v>1278</v>
      </c>
      <c r="D531">
        <v>987</v>
      </c>
      <c r="E531">
        <v>254</v>
      </c>
      <c r="F531">
        <v>3767</v>
      </c>
      <c r="G531">
        <v>859</v>
      </c>
      <c r="H531">
        <v>7202</v>
      </c>
      <c r="I531">
        <v>240</v>
      </c>
      <c r="J531">
        <f>SUM(C531:I531)</f>
        <v>14587</v>
      </c>
      <c r="L531"/>
    </row>
    <row r="532" spans="1:12" x14ac:dyDescent="0.35">
      <c r="A532" t="s">
        <v>54</v>
      </c>
      <c r="B532">
        <v>2016</v>
      </c>
      <c r="C532">
        <v>1655</v>
      </c>
      <c r="D532">
        <v>1923</v>
      </c>
      <c r="E532">
        <v>234</v>
      </c>
      <c r="F532">
        <v>5260</v>
      </c>
      <c r="G532">
        <v>703</v>
      </c>
      <c r="H532">
        <v>2556</v>
      </c>
      <c r="I532">
        <v>323</v>
      </c>
      <c r="J532">
        <f>SUM(C532:I532)</f>
        <v>12654</v>
      </c>
      <c r="L532"/>
    </row>
    <row r="533" spans="1:12" x14ac:dyDescent="0.35">
      <c r="A533" t="s">
        <v>46</v>
      </c>
      <c r="B533">
        <v>2016</v>
      </c>
      <c r="C533">
        <v>1008</v>
      </c>
      <c r="D533">
        <v>5496</v>
      </c>
      <c r="E533">
        <v>987</v>
      </c>
      <c r="F533">
        <v>324</v>
      </c>
      <c r="G533">
        <v>124</v>
      </c>
      <c r="H533">
        <v>3794</v>
      </c>
      <c r="I533">
        <v>50</v>
      </c>
      <c r="J533">
        <f>SUM(C533:I533)</f>
        <v>11783</v>
      </c>
      <c r="L533"/>
    </row>
    <row r="534" spans="1:12" x14ac:dyDescent="0.35">
      <c r="A534" t="s">
        <v>55</v>
      </c>
      <c r="B534">
        <v>2016</v>
      </c>
      <c r="C534">
        <v>1656</v>
      </c>
      <c r="D534">
        <v>166</v>
      </c>
      <c r="E534">
        <v>25</v>
      </c>
      <c r="F534">
        <v>4029</v>
      </c>
      <c r="G534">
        <v>1273</v>
      </c>
      <c r="H534">
        <v>3455</v>
      </c>
      <c r="I534">
        <v>113</v>
      </c>
      <c r="J534">
        <f>SUM(C534:I534)</f>
        <v>10717</v>
      </c>
      <c r="L534"/>
    </row>
    <row r="535" spans="1:12" x14ac:dyDescent="0.35">
      <c r="A535" t="s">
        <v>50</v>
      </c>
      <c r="B535">
        <v>2016</v>
      </c>
      <c r="C535">
        <v>1187</v>
      </c>
      <c r="D535">
        <v>2697</v>
      </c>
      <c r="E535">
        <v>260</v>
      </c>
      <c r="F535">
        <v>1860</v>
      </c>
      <c r="G535">
        <v>699</v>
      </c>
      <c r="H535">
        <v>3313</v>
      </c>
      <c r="I535">
        <v>59</v>
      </c>
      <c r="J535">
        <f>SUM(C535:I535)</f>
        <v>10075</v>
      </c>
      <c r="L535"/>
    </row>
    <row r="536" spans="1:12" x14ac:dyDescent="0.35">
      <c r="A536" t="s">
        <v>49</v>
      </c>
      <c r="B536">
        <v>2016</v>
      </c>
      <c r="C536">
        <v>982</v>
      </c>
      <c r="D536">
        <v>2146</v>
      </c>
      <c r="E536">
        <v>12</v>
      </c>
      <c r="F536">
        <v>1224</v>
      </c>
      <c r="G536">
        <v>473</v>
      </c>
      <c r="H536">
        <v>3732</v>
      </c>
      <c r="I536">
        <v>76</v>
      </c>
      <c r="J536">
        <f>SUM(C536:I536)</f>
        <v>8645</v>
      </c>
      <c r="L536"/>
    </row>
    <row r="537" spans="1:12" x14ac:dyDescent="0.35">
      <c r="A537" t="s">
        <v>47</v>
      </c>
      <c r="B537">
        <v>2016</v>
      </c>
      <c r="C537">
        <v>1626</v>
      </c>
      <c r="D537">
        <v>1447</v>
      </c>
      <c r="E537">
        <v>84</v>
      </c>
      <c r="F537">
        <v>1770</v>
      </c>
      <c r="G537">
        <v>244</v>
      </c>
      <c r="H537">
        <v>622</v>
      </c>
      <c r="I537">
        <v>17</v>
      </c>
      <c r="J537">
        <f>SUM(C537:I537)</f>
        <v>5810</v>
      </c>
      <c r="L537"/>
    </row>
    <row r="538" spans="1:12" x14ac:dyDescent="0.35">
      <c r="A538" t="s">
        <v>63</v>
      </c>
      <c r="B538">
        <v>2016</v>
      </c>
      <c r="C538">
        <v>838</v>
      </c>
      <c r="D538">
        <v>1208</v>
      </c>
      <c r="E538">
        <v>80</v>
      </c>
      <c r="F538">
        <v>1025</v>
      </c>
      <c r="G538">
        <v>325</v>
      </c>
      <c r="H538">
        <v>1568</v>
      </c>
      <c r="I538">
        <v>64</v>
      </c>
      <c r="J538">
        <f>SUM(C538:I538)</f>
        <v>5108</v>
      </c>
      <c r="L538"/>
    </row>
    <row r="539" spans="1:12" x14ac:dyDescent="0.35">
      <c r="A539" t="s">
        <v>53</v>
      </c>
      <c r="B539">
        <v>2016</v>
      </c>
      <c r="C539">
        <v>1109</v>
      </c>
      <c r="D539">
        <v>693</v>
      </c>
      <c r="E539">
        <v>278</v>
      </c>
      <c r="F539">
        <v>667</v>
      </c>
      <c r="G539">
        <v>373</v>
      </c>
      <c r="H539">
        <v>1002</v>
      </c>
      <c r="I539">
        <v>0</v>
      </c>
      <c r="J539">
        <f>SUM(C539:I539)</f>
        <v>4122</v>
      </c>
      <c r="L539"/>
    </row>
    <row r="540" spans="1:12" x14ac:dyDescent="0.35">
      <c r="A540" t="s">
        <v>66</v>
      </c>
      <c r="B540">
        <v>2016</v>
      </c>
      <c r="C540">
        <v>319</v>
      </c>
      <c r="D540">
        <v>1043</v>
      </c>
      <c r="E540">
        <v>58</v>
      </c>
      <c r="F540">
        <v>854</v>
      </c>
      <c r="G540">
        <v>115</v>
      </c>
      <c r="H540">
        <v>1256</v>
      </c>
      <c r="I540">
        <v>432</v>
      </c>
      <c r="J540">
        <f>SUM(C540:I540)</f>
        <v>4077</v>
      </c>
      <c r="L540"/>
    </row>
    <row r="541" spans="1:12" x14ac:dyDescent="0.35">
      <c r="A541" t="s">
        <v>52</v>
      </c>
      <c r="B541">
        <v>2016</v>
      </c>
      <c r="C541">
        <v>256</v>
      </c>
      <c r="D541">
        <v>774</v>
      </c>
      <c r="E541">
        <v>6</v>
      </c>
      <c r="F541">
        <v>1235</v>
      </c>
      <c r="G541">
        <v>253</v>
      </c>
      <c r="H541">
        <v>342</v>
      </c>
      <c r="I541">
        <v>1</v>
      </c>
      <c r="J541">
        <f>SUM(C541:I541)</f>
        <v>2867</v>
      </c>
      <c r="L541"/>
    </row>
    <row r="542" spans="1:12" x14ac:dyDescent="0.35">
      <c r="A542" t="s">
        <v>70</v>
      </c>
      <c r="B542">
        <v>2016</v>
      </c>
      <c r="C542">
        <v>336</v>
      </c>
      <c r="D542">
        <v>377</v>
      </c>
      <c r="E542">
        <v>57</v>
      </c>
      <c r="F542">
        <v>344</v>
      </c>
      <c r="G542">
        <v>35</v>
      </c>
      <c r="H542">
        <v>392</v>
      </c>
      <c r="I542">
        <v>11</v>
      </c>
      <c r="J542">
        <f>SUM(C542:I542)</f>
        <v>1552</v>
      </c>
      <c r="L542"/>
    </row>
    <row r="543" spans="1:12" x14ac:dyDescent="0.35">
      <c r="A543" t="s">
        <v>51</v>
      </c>
      <c r="B543">
        <v>2016</v>
      </c>
      <c r="C543">
        <v>252</v>
      </c>
      <c r="D543">
        <v>201</v>
      </c>
      <c r="E543">
        <v>3</v>
      </c>
      <c r="F543">
        <v>410</v>
      </c>
      <c r="G543">
        <v>114</v>
      </c>
      <c r="H543">
        <v>214</v>
      </c>
      <c r="I543">
        <v>7</v>
      </c>
      <c r="J543">
        <f>SUM(C543:I543)</f>
        <v>1201</v>
      </c>
      <c r="L543"/>
    </row>
    <row r="544" spans="1:12" x14ac:dyDescent="0.35">
      <c r="A544" t="s">
        <v>68</v>
      </c>
      <c r="B544">
        <v>2016</v>
      </c>
      <c r="C544">
        <v>207</v>
      </c>
      <c r="D544">
        <v>119</v>
      </c>
      <c r="E544">
        <v>19</v>
      </c>
      <c r="F544">
        <v>214</v>
      </c>
      <c r="G544">
        <v>52</v>
      </c>
      <c r="H544">
        <v>430</v>
      </c>
      <c r="I544">
        <v>0</v>
      </c>
      <c r="J544">
        <f>SUM(C544:I544)</f>
        <v>1041</v>
      </c>
      <c r="L544"/>
    </row>
    <row r="545" spans="1:12" x14ac:dyDescent="0.35">
      <c r="A545" t="s">
        <v>73</v>
      </c>
      <c r="B545">
        <v>2016</v>
      </c>
      <c r="C545">
        <v>68</v>
      </c>
      <c r="D545">
        <v>112</v>
      </c>
      <c r="E545">
        <v>4</v>
      </c>
      <c r="F545">
        <v>76</v>
      </c>
      <c r="G545">
        <v>26</v>
      </c>
      <c r="H545">
        <v>122</v>
      </c>
      <c r="I545">
        <v>0</v>
      </c>
      <c r="J545">
        <f>SUM(C545:I545)</f>
        <v>408</v>
      </c>
      <c r="L545"/>
    </row>
    <row r="546" spans="1:12" x14ac:dyDescent="0.35">
      <c r="A546" t="s">
        <v>59</v>
      </c>
      <c r="B546">
        <v>2016</v>
      </c>
      <c r="C546">
        <v>190</v>
      </c>
      <c r="D546">
        <v>51</v>
      </c>
      <c r="E546">
        <v>0</v>
      </c>
      <c r="F546">
        <v>68</v>
      </c>
      <c r="G546">
        <v>20</v>
      </c>
      <c r="H546">
        <v>26</v>
      </c>
      <c r="I546">
        <v>2</v>
      </c>
      <c r="J546">
        <f>SUM(C546:I546)</f>
        <v>357</v>
      </c>
      <c r="L546"/>
    </row>
    <row r="547" spans="1:12" x14ac:dyDescent="0.35">
      <c r="A547" t="s">
        <v>48</v>
      </c>
      <c r="B547">
        <v>2016</v>
      </c>
      <c r="C547">
        <v>61</v>
      </c>
      <c r="D547">
        <v>69</v>
      </c>
      <c r="E547">
        <v>2</v>
      </c>
      <c r="F547">
        <v>143</v>
      </c>
      <c r="G547">
        <v>41</v>
      </c>
      <c r="H547">
        <v>23</v>
      </c>
      <c r="I547">
        <v>3</v>
      </c>
      <c r="J547">
        <f>SUM(C547:I547)</f>
        <v>342</v>
      </c>
      <c r="L547"/>
    </row>
    <row r="548" spans="1:12" x14ac:dyDescent="0.35">
      <c r="A548" t="s">
        <v>44</v>
      </c>
      <c r="B548">
        <v>2016</v>
      </c>
      <c r="C548">
        <v>92</v>
      </c>
      <c r="D548">
        <v>85</v>
      </c>
      <c r="E548">
        <v>1</v>
      </c>
      <c r="F548">
        <v>109</v>
      </c>
      <c r="G548">
        <v>4</v>
      </c>
      <c r="H548">
        <v>50</v>
      </c>
      <c r="I548">
        <v>0</v>
      </c>
      <c r="J548">
        <f>SUM(C548:I548)</f>
        <v>341</v>
      </c>
      <c r="L548"/>
    </row>
    <row r="549" spans="1:12" x14ac:dyDescent="0.35">
      <c r="A549" t="s">
        <v>58</v>
      </c>
      <c r="B549">
        <v>2016</v>
      </c>
      <c r="C549">
        <v>55</v>
      </c>
      <c r="D549">
        <v>95</v>
      </c>
      <c r="E549">
        <v>0</v>
      </c>
      <c r="F549">
        <v>65</v>
      </c>
      <c r="G549">
        <v>15</v>
      </c>
      <c r="H549">
        <v>29</v>
      </c>
      <c r="I549">
        <v>0</v>
      </c>
      <c r="J549">
        <f>SUM(C549:I549)</f>
        <v>259</v>
      </c>
      <c r="L549"/>
    </row>
    <row r="550" spans="1:12" x14ac:dyDescent="0.35">
      <c r="A550" t="s">
        <v>60</v>
      </c>
      <c r="B550">
        <v>2016</v>
      </c>
      <c r="C550">
        <v>23</v>
      </c>
      <c r="D550">
        <v>3</v>
      </c>
      <c r="E550">
        <v>0</v>
      </c>
      <c r="F550">
        <v>71</v>
      </c>
      <c r="G550">
        <v>44</v>
      </c>
      <c r="H550">
        <v>19</v>
      </c>
      <c r="I550">
        <v>3</v>
      </c>
      <c r="J550">
        <f>SUM(C550:I550)</f>
        <v>163</v>
      </c>
      <c r="L550"/>
    </row>
    <row r="551" spans="1:12" x14ac:dyDescent="0.35">
      <c r="A551" t="s">
        <v>65</v>
      </c>
      <c r="B551">
        <v>2016</v>
      </c>
      <c r="C551">
        <v>92</v>
      </c>
      <c r="D551">
        <v>12</v>
      </c>
      <c r="E551">
        <v>0</v>
      </c>
      <c r="F551">
        <v>34</v>
      </c>
      <c r="G551">
        <v>8</v>
      </c>
      <c r="H551">
        <v>2</v>
      </c>
      <c r="I551">
        <v>0</v>
      </c>
      <c r="J551">
        <f>SUM(C551:I551)</f>
        <v>148</v>
      </c>
      <c r="L551"/>
    </row>
    <row r="552" spans="1:12" x14ac:dyDescent="0.35">
      <c r="A552" t="s">
        <v>72</v>
      </c>
      <c r="B552">
        <v>2016</v>
      </c>
      <c r="C552">
        <v>30</v>
      </c>
      <c r="D552">
        <v>21</v>
      </c>
      <c r="E552">
        <v>0</v>
      </c>
      <c r="F552">
        <v>46</v>
      </c>
      <c r="G552">
        <v>15</v>
      </c>
      <c r="H552">
        <v>7</v>
      </c>
      <c r="I552">
        <v>0</v>
      </c>
      <c r="J552">
        <f>SUM(C552:I552)</f>
        <v>119</v>
      </c>
      <c r="L552"/>
    </row>
    <row r="553" spans="1:12" x14ac:dyDescent="0.35">
      <c r="A553" t="s">
        <v>61</v>
      </c>
      <c r="B553">
        <v>2016</v>
      </c>
      <c r="C553">
        <v>26</v>
      </c>
      <c r="D553">
        <v>50</v>
      </c>
      <c r="E553">
        <v>1</v>
      </c>
      <c r="F553">
        <v>14</v>
      </c>
      <c r="G553">
        <v>6</v>
      </c>
      <c r="H553">
        <v>3</v>
      </c>
      <c r="I553">
        <v>0</v>
      </c>
      <c r="J553">
        <f>SUM(C553:I553)</f>
        <v>100</v>
      </c>
      <c r="L553"/>
    </row>
    <row r="554" spans="1:12" x14ac:dyDescent="0.35">
      <c r="A554" t="s">
        <v>78</v>
      </c>
      <c r="B554">
        <v>2016</v>
      </c>
      <c r="C554">
        <v>6</v>
      </c>
      <c r="D554">
        <v>11</v>
      </c>
      <c r="E554">
        <v>0</v>
      </c>
      <c r="F554">
        <v>43</v>
      </c>
      <c r="G554">
        <v>13</v>
      </c>
      <c r="H554">
        <v>15</v>
      </c>
      <c r="I554">
        <v>0</v>
      </c>
      <c r="J554">
        <f>SUM(C554:I554)</f>
        <v>88</v>
      </c>
      <c r="L554"/>
    </row>
    <row r="555" spans="1:12" x14ac:dyDescent="0.35">
      <c r="A555" t="s">
        <v>75</v>
      </c>
      <c r="B555">
        <v>2016</v>
      </c>
      <c r="C555">
        <v>12</v>
      </c>
      <c r="D555">
        <v>9</v>
      </c>
      <c r="E555">
        <v>0</v>
      </c>
      <c r="F555">
        <v>4</v>
      </c>
      <c r="G555">
        <v>0</v>
      </c>
      <c r="H555">
        <v>8</v>
      </c>
      <c r="I555">
        <v>4</v>
      </c>
      <c r="J555">
        <f>SUM(C555:I555)</f>
        <v>37</v>
      </c>
      <c r="L555"/>
    </row>
    <row r="556" spans="1:12" x14ac:dyDescent="0.35">
      <c r="A556" t="s">
        <v>74</v>
      </c>
      <c r="B556">
        <v>2016</v>
      </c>
      <c r="C556">
        <v>14</v>
      </c>
      <c r="D556">
        <v>5</v>
      </c>
      <c r="E556">
        <v>0</v>
      </c>
      <c r="F556">
        <v>1</v>
      </c>
      <c r="G556">
        <v>0</v>
      </c>
      <c r="H556">
        <v>6</v>
      </c>
      <c r="I556">
        <v>0</v>
      </c>
      <c r="J556">
        <f>SUM(C556:I556)</f>
        <v>26</v>
      </c>
      <c r="L556"/>
    </row>
    <row r="557" spans="1:12" x14ac:dyDescent="0.35">
      <c r="A557" t="s">
        <v>77</v>
      </c>
      <c r="B557">
        <v>2016</v>
      </c>
      <c r="C557">
        <v>5</v>
      </c>
      <c r="D557">
        <v>0</v>
      </c>
      <c r="E557">
        <v>0</v>
      </c>
      <c r="F557">
        <v>1</v>
      </c>
      <c r="G557">
        <v>0</v>
      </c>
      <c r="H557">
        <v>2</v>
      </c>
      <c r="I557">
        <v>0</v>
      </c>
      <c r="J557">
        <f>SUM(C557:I557)</f>
        <v>8</v>
      </c>
      <c r="L557"/>
    </row>
    <row r="558" spans="1:12" x14ac:dyDescent="0.35">
      <c r="A558" t="s">
        <v>69</v>
      </c>
      <c r="B558">
        <v>2017</v>
      </c>
      <c r="C558">
        <v>4246</v>
      </c>
      <c r="D558">
        <v>14993</v>
      </c>
      <c r="E558">
        <v>2524</v>
      </c>
      <c r="F558">
        <v>12607</v>
      </c>
      <c r="G558">
        <v>91</v>
      </c>
      <c r="H558">
        <v>12653</v>
      </c>
      <c r="I558">
        <v>25</v>
      </c>
      <c r="J558">
        <f>SUM(C558:I558)</f>
        <v>47139</v>
      </c>
      <c r="L558"/>
    </row>
    <row r="559" spans="1:12" x14ac:dyDescent="0.35">
      <c r="A559" t="s">
        <v>56</v>
      </c>
      <c r="B559">
        <v>2017</v>
      </c>
      <c r="C559">
        <v>5562</v>
      </c>
      <c r="D559">
        <v>5200</v>
      </c>
      <c r="E559">
        <v>632</v>
      </c>
      <c r="F559">
        <v>9252</v>
      </c>
      <c r="G559">
        <v>277</v>
      </c>
      <c r="H559">
        <v>6099</v>
      </c>
      <c r="I559">
        <v>27</v>
      </c>
      <c r="J559">
        <f>SUM(C559:I559)</f>
        <v>27049</v>
      </c>
      <c r="L559"/>
    </row>
    <row r="560" spans="1:12" x14ac:dyDescent="0.35">
      <c r="A560" t="s">
        <v>71</v>
      </c>
      <c r="B560">
        <v>2017</v>
      </c>
      <c r="C560">
        <v>1084</v>
      </c>
      <c r="D560">
        <v>4232</v>
      </c>
      <c r="E560">
        <v>499</v>
      </c>
      <c r="F560">
        <v>3832</v>
      </c>
      <c r="G560">
        <v>448</v>
      </c>
      <c r="H560">
        <v>16800</v>
      </c>
      <c r="I560">
        <v>67</v>
      </c>
      <c r="J560">
        <f>SUM(C560:I560)</f>
        <v>26962</v>
      </c>
      <c r="L560"/>
    </row>
    <row r="561" spans="1:12" x14ac:dyDescent="0.35">
      <c r="A561" t="s">
        <v>57</v>
      </c>
      <c r="B561">
        <v>2017</v>
      </c>
      <c r="C561">
        <v>1933</v>
      </c>
      <c r="D561">
        <v>6248</v>
      </c>
      <c r="E561">
        <v>233</v>
      </c>
      <c r="F561">
        <v>9392</v>
      </c>
      <c r="G561">
        <v>919</v>
      </c>
      <c r="H561">
        <v>6584</v>
      </c>
      <c r="I561">
        <v>248</v>
      </c>
      <c r="J561">
        <f>SUM(C561:I561)</f>
        <v>25557</v>
      </c>
      <c r="L561"/>
    </row>
    <row r="562" spans="1:12" x14ac:dyDescent="0.35">
      <c r="A562" t="s">
        <v>64</v>
      </c>
      <c r="B562">
        <v>2017</v>
      </c>
      <c r="C562">
        <v>3305</v>
      </c>
      <c r="D562">
        <v>3838</v>
      </c>
      <c r="E562">
        <v>457</v>
      </c>
      <c r="F562">
        <v>4883</v>
      </c>
      <c r="G562">
        <v>24</v>
      </c>
      <c r="H562">
        <v>11508</v>
      </c>
      <c r="I562">
        <v>86</v>
      </c>
      <c r="J562">
        <f>SUM(C562:I562)</f>
        <v>24101</v>
      </c>
      <c r="L562"/>
    </row>
    <row r="563" spans="1:12" x14ac:dyDescent="0.35">
      <c r="A563" t="s">
        <v>45</v>
      </c>
      <c r="B563">
        <v>2017</v>
      </c>
      <c r="C563">
        <v>1772</v>
      </c>
      <c r="D563">
        <v>5554</v>
      </c>
      <c r="E563">
        <v>171</v>
      </c>
      <c r="F563">
        <v>3569</v>
      </c>
      <c r="G563">
        <v>108</v>
      </c>
      <c r="H563">
        <v>9782</v>
      </c>
      <c r="I563">
        <v>40</v>
      </c>
      <c r="J563">
        <f>SUM(C563:I563)</f>
        <v>20996</v>
      </c>
      <c r="L563"/>
    </row>
    <row r="564" spans="1:12" x14ac:dyDescent="0.35">
      <c r="A564" t="s">
        <v>62</v>
      </c>
      <c r="B564">
        <v>2017</v>
      </c>
      <c r="C564">
        <v>2070</v>
      </c>
      <c r="D564">
        <v>2773</v>
      </c>
      <c r="E564">
        <v>326</v>
      </c>
      <c r="F564">
        <v>9132</v>
      </c>
      <c r="G564">
        <v>490</v>
      </c>
      <c r="H564">
        <v>2525</v>
      </c>
      <c r="I564">
        <v>21</v>
      </c>
      <c r="J564">
        <f>SUM(C564:I564)</f>
        <v>17337</v>
      </c>
      <c r="L564"/>
    </row>
    <row r="565" spans="1:12" x14ac:dyDescent="0.35">
      <c r="A565" t="s">
        <v>43</v>
      </c>
      <c r="B565">
        <v>2017</v>
      </c>
      <c r="C565">
        <v>988</v>
      </c>
      <c r="D565">
        <v>712</v>
      </c>
      <c r="E565">
        <v>152</v>
      </c>
      <c r="F565">
        <v>5129</v>
      </c>
      <c r="G565">
        <v>1998</v>
      </c>
      <c r="H565">
        <v>7156</v>
      </c>
      <c r="I565">
        <v>121</v>
      </c>
      <c r="J565">
        <f>SUM(C565:I565)</f>
        <v>16256</v>
      </c>
      <c r="L565"/>
    </row>
    <row r="566" spans="1:12" x14ac:dyDescent="0.35">
      <c r="A566" t="s">
        <v>67</v>
      </c>
      <c r="B566">
        <v>2017</v>
      </c>
      <c r="C566">
        <v>552</v>
      </c>
      <c r="D566">
        <v>934</v>
      </c>
      <c r="E566">
        <v>251</v>
      </c>
      <c r="F566">
        <v>4409</v>
      </c>
      <c r="G566">
        <v>1160</v>
      </c>
      <c r="H566">
        <v>7838</v>
      </c>
      <c r="I566">
        <v>79</v>
      </c>
      <c r="J566">
        <f>SUM(C566:I566)</f>
        <v>15223</v>
      </c>
      <c r="L566"/>
    </row>
    <row r="567" spans="1:12" x14ac:dyDescent="0.35">
      <c r="A567" t="s">
        <v>46</v>
      </c>
      <c r="B567">
        <v>2017</v>
      </c>
      <c r="C567">
        <v>605</v>
      </c>
      <c r="D567">
        <v>6182</v>
      </c>
      <c r="E567">
        <v>1081</v>
      </c>
      <c r="F567">
        <v>197</v>
      </c>
      <c r="G567">
        <v>1</v>
      </c>
      <c r="H567">
        <v>3776</v>
      </c>
      <c r="I567">
        <v>24</v>
      </c>
      <c r="J567">
        <f>SUM(C567:I567)</f>
        <v>11866</v>
      </c>
      <c r="L567"/>
    </row>
    <row r="568" spans="1:12" x14ac:dyDescent="0.35">
      <c r="A568" t="s">
        <v>76</v>
      </c>
      <c r="B568">
        <v>2017</v>
      </c>
      <c r="C568">
        <v>1229</v>
      </c>
      <c r="D568">
        <v>3783</v>
      </c>
      <c r="E568">
        <v>120</v>
      </c>
      <c r="F568">
        <v>2874</v>
      </c>
      <c r="G568">
        <v>619</v>
      </c>
      <c r="H568">
        <v>2735</v>
      </c>
      <c r="I568">
        <v>6</v>
      </c>
      <c r="J568">
        <f>SUM(C568:I568)</f>
        <v>11366</v>
      </c>
      <c r="L568"/>
    </row>
    <row r="569" spans="1:12" x14ac:dyDescent="0.35">
      <c r="A569" t="s">
        <v>54</v>
      </c>
      <c r="B569">
        <v>2017</v>
      </c>
      <c r="C569">
        <v>546</v>
      </c>
      <c r="D569">
        <v>967</v>
      </c>
      <c r="E569">
        <v>206</v>
      </c>
      <c r="F569">
        <v>5763</v>
      </c>
      <c r="G569">
        <v>212</v>
      </c>
      <c r="H569">
        <v>2332</v>
      </c>
      <c r="I569">
        <v>236</v>
      </c>
      <c r="J569">
        <f>SUM(C569:I569)</f>
        <v>10262</v>
      </c>
      <c r="L569"/>
    </row>
    <row r="570" spans="1:12" x14ac:dyDescent="0.35">
      <c r="A570" t="s">
        <v>55</v>
      </c>
      <c r="B570">
        <v>2017</v>
      </c>
      <c r="C570">
        <v>2003</v>
      </c>
      <c r="D570">
        <v>184</v>
      </c>
      <c r="E570">
        <v>12</v>
      </c>
      <c r="F570">
        <v>4413</v>
      </c>
      <c r="G570">
        <v>421</v>
      </c>
      <c r="H570">
        <v>2856</v>
      </c>
      <c r="I570">
        <v>21</v>
      </c>
      <c r="J570">
        <f>SUM(C570:I570)</f>
        <v>9910</v>
      </c>
      <c r="L570"/>
    </row>
    <row r="571" spans="1:12" x14ac:dyDescent="0.35">
      <c r="A571" t="s">
        <v>50</v>
      </c>
      <c r="B571">
        <v>2017</v>
      </c>
      <c r="C571">
        <v>1099</v>
      </c>
      <c r="D571">
        <v>2949</v>
      </c>
      <c r="E571">
        <v>245</v>
      </c>
      <c r="F571">
        <v>2031</v>
      </c>
      <c r="G571">
        <v>179</v>
      </c>
      <c r="H571">
        <v>3326</v>
      </c>
      <c r="I571">
        <v>57</v>
      </c>
      <c r="J571">
        <f>SUM(C571:I571)</f>
        <v>9886</v>
      </c>
      <c r="L571"/>
    </row>
    <row r="572" spans="1:12" x14ac:dyDescent="0.35">
      <c r="A572" t="s">
        <v>47</v>
      </c>
      <c r="B572">
        <v>2017</v>
      </c>
      <c r="C572">
        <v>1908</v>
      </c>
      <c r="D572">
        <v>1457</v>
      </c>
      <c r="E572">
        <v>74</v>
      </c>
      <c r="F572">
        <v>1899</v>
      </c>
      <c r="G572">
        <v>144</v>
      </c>
      <c r="H572">
        <v>582</v>
      </c>
      <c r="I572">
        <v>16</v>
      </c>
      <c r="J572">
        <f>SUM(C572:I572)</f>
        <v>6080</v>
      </c>
      <c r="L572"/>
    </row>
    <row r="573" spans="1:12" x14ac:dyDescent="0.35">
      <c r="A573" t="s">
        <v>49</v>
      </c>
      <c r="B573">
        <v>2017</v>
      </c>
      <c r="C573">
        <v>477</v>
      </c>
      <c r="D573">
        <v>1259</v>
      </c>
      <c r="E573">
        <v>9</v>
      </c>
      <c r="F573">
        <v>1058</v>
      </c>
      <c r="G573">
        <v>17</v>
      </c>
      <c r="H573">
        <v>3223</v>
      </c>
      <c r="I573">
        <v>28</v>
      </c>
      <c r="J573">
        <f>SUM(C573:I573)</f>
        <v>6071</v>
      </c>
      <c r="L573"/>
    </row>
    <row r="574" spans="1:12" x14ac:dyDescent="0.35">
      <c r="A574" t="s">
        <v>53</v>
      </c>
      <c r="B574">
        <v>2017</v>
      </c>
      <c r="C574">
        <v>914</v>
      </c>
      <c r="D574">
        <v>1033</v>
      </c>
      <c r="E574">
        <v>248</v>
      </c>
      <c r="F574">
        <v>748</v>
      </c>
      <c r="G574">
        <v>104</v>
      </c>
      <c r="H574">
        <v>998</v>
      </c>
      <c r="I574">
        <v>4</v>
      </c>
      <c r="J574">
        <f>SUM(C574:I574)</f>
        <v>4049</v>
      </c>
      <c r="L574"/>
    </row>
    <row r="575" spans="1:12" x14ac:dyDescent="0.35">
      <c r="A575" t="s">
        <v>63</v>
      </c>
      <c r="B575">
        <v>2017</v>
      </c>
      <c r="C575">
        <v>530</v>
      </c>
      <c r="D575">
        <v>1099</v>
      </c>
      <c r="E575">
        <v>68</v>
      </c>
      <c r="F575">
        <v>933</v>
      </c>
      <c r="G575">
        <v>22</v>
      </c>
      <c r="H575">
        <v>1199</v>
      </c>
      <c r="I575">
        <v>7</v>
      </c>
      <c r="J575">
        <f>SUM(C575:I575)</f>
        <v>3858</v>
      </c>
      <c r="L575"/>
    </row>
    <row r="576" spans="1:12" x14ac:dyDescent="0.35">
      <c r="A576" t="s">
        <v>66</v>
      </c>
      <c r="B576">
        <v>2017</v>
      </c>
      <c r="C576">
        <v>283</v>
      </c>
      <c r="D576">
        <v>859</v>
      </c>
      <c r="E576">
        <v>48</v>
      </c>
      <c r="F576">
        <v>744</v>
      </c>
      <c r="G576">
        <v>9</v>
      </c>
      <c r="H576">
        <v>984</v>
      </c>
      <c r="I576">
        <v>403</v>
      </c>
      <c r="J576">
        <f>SUM(C576:I576)</f>
        <v>3330</v>
      </c>
      <c r="L576"/>
    </row>
    <row r="577" spans="1:12" x14ac:dyDescent="0.35">
      <c r="A577" t="s">
        <v>52</v>
      </c>
      <c r="B577">
        <v>2017</v>
      </c>
      <c r="C577">
        <v>296</v>
      </c>
      <c r="D577">
        <v>931</v>
      </c>
      <c r="E577">
        <v>8</v>
      </c>
      <c r="F577">
        <v>1417</v>
      </c>
      <c r="G577">
        <v>41</v>
      </c>
      <c r="H577">
        <v>377</v>
      </c>
      <c r="I577">
        <v>0</v>
      </c>
      <c r="J577">
        <f>SUM(C577:I577)</f>
        <v>3070</v>
      </c>
      <c r="L577"/>
    </row>
    <row r="578" spans="1:12" x14ac:dyDescent="0.35">
      <c r="A578" t="s">
        <v>70</v>
      </c>
      <c r="B578">
        <v>2017</v>
      </c>
      <c r="C578">
        <v>374</v>
      </c>
      <c r="D578">
        <v>371</v>
      </c>
      <c r="E578">
        <v>60</v>
      </c>
      <c r="F578">
        <v>435</v>
      </c>
      <c r="G578">
        <v>4</v>
      </c>
      <c r="H578">
        <v>394</v>
      </c>
      <c r="I578">
        <v>6</v>
      </c>
      <c r="J578">
        <f>SUM(C578:I578)</f>
        <v>1644</v>
      </c>
      <c r="L578"/>
    </row>
    <row r="579" spans="1:12" x14ac:dyDescent="0.35">
      <c r="A579" t="s">
        <v>51</v>
      </c>
      <c r="B579">
        <v>2017</v>
      </c>
      <c r="C579">
        <v>249</v>
      </c>
      <c r="D579">
        <v>242</v>
      </c>
      <c r="E579">
        <v>3</v>
      </c>
      <c r="F579">
        <v>397</v>
      </c>
      <c r="G579">
        <v>52</v>
      </c>
      <c r="H579">
        <v>191</v>
      </c>
      <c r="I579">
        <v>8</v>
      </c>
      <c r="J579">
        <f>SUM(C579:I579)</f>
        <v>1142</v>
      </c>
      <c r="L579"/>
    </row>
    <row r="580" spans="1:12" x14ac:dyDescent="0.35">
      <c r="A580" t="s">
        <v>68</v>
      </c>
      <c r="B580">
        <v>2017</v>
      </c>
      <c r="C580">
        <v>95</v>
      </c>
      <c r="D580">
        <v>90</v>
      </c>
      <c r="E580">
        <v>33</v>
      </c>
      <c r="F580">
        <v>225</v>
      </c>
      <c r="G580">
        <v>9</v>
      </c>
      <c r="H580">
        <v>348</v>
      </c>
      <c r="I580">
        <v>0</v>
      </c>
      <c r="J580">
        <f>SUM(C580:I580)</f>
        <v>800</v>
      </c>
      <c r="L580"/>
    </row>
    <row r="581" spans="1:12" x14ac:dyDescent="0.35">
      <c r="A581" t="s">
        <v>73</v>
      </c>
      <c r="B581">
        <v>2017</v>
      </c>
      <c r="C581">
        <v>65</v>
      </c>
      <c r="D581">
        <v>138</v>
      </c>
      <c r="E581">
        <v>1</v>
      </c>
      <c r="F581">
        <v>100</v>
      </c>
      <c r="G581">
        <v>12</v>
      </c>
      <c r="H581">
        <v>121</v>
      </c>
      <c r="I581">
        <v>0</v>
      </c>
      <c r="J581">
        <f>SUM(C581:I581)</f>
        <v>437</v>
      </c>
      <c r="L581"/>
    </row>
    <row r="582" spans="1:12" x14ac:dyDescent="0.35">
      <c r="A582" t="s">
        <v>48</v>
      </c>
      <c r="B582">
        <v>2017</v>
      </c>
      <c r="C582">
        <v>76</v>
      </c>
      <c r="D582">
        <v>61</v>
      </c>
      <c r="E582">
        <v>1</v>
      </c>
      <c r="F582">
        <v>134</v>
      </c>
      <c r="G582">
        <v>31</v>
      </c>
      <c r="H582">
        <v>21</v>
      </c>
      <c r="I582">
        <v>1</v>
      </c>
      <c r="J582">
        <f>SUM(C582:I582)</f>
        <v>325</v>
      </c>
      <c r="L582"/>
    </row>
    <row r="583" spans="1:12" x14ac:dyDescent="0.35">
      <c r="A583" t="s">
        <v>59</v>
      </c>
      <c r="B583">
        <v>2017</v>
      </c>
      <c r="C583">
        <v>119</v>
      </c>
      <c r="D583">
        <v>54</v>
      </c>
      <c r="E583">
        <v>1</v>
      </c>
      <c r="F583">
        <v>88</v>
      </c>
      <c r="G583">
        <v>21</v>
      </c>
      <c r="H583">
        <v>20</v>
      </c>
      <c r="I583">
        <v>0</v>
      </c>
      <c r="J583">
        <f>SUM(C583:I583)</f>
        <v>303</v>
      </c>
      <c r="L583"/>
    </row>
    <row r="584" spans="1:12" x14ac:dyDescent="0.35">
      <c r="A584" t="s">
        <v>44</v>
      </c>
      <c r="B584">
        <v>2017</v>
      </c>
      <c r="C584">
        <v>59</v>
      </c>
      <c r="D584">
        <v>74</v>
      </c>
      <c r="E584">
        <v>0</v>
      </c>
      <c r="F584">
        <v>97</v>
      </c>
      <c r="G584">
        <v>5</v>
      </c>
      <c r="H584">
        <v>56</v>
      </c>
      <c r="I584">
        <v>2</v>
      </c>
      <c r="J584">
        <f>SUM(C584:I584)</f>
        <v>293</v>
      </c>
      <c r="L584"/>
    </row>
    <row r="585" spans="1:12" x14ac:dyDescent="0.35">
      <c r="A585" t="s">
        <v>58</v>
      </c>
      <c r="B585">
        <v>2017</v>
      </c>
      <c r="C585">
        <v>40</v>
      </c>
      <c r="D585">
        <v>70</v>
      </c>
      <c r="E585">
        <v>0</v>
      </c>
      <c r="F585">
        <v>66</v>
      </c>
      <c r="G585">
        <v>8</v>
      </c>
      <c r="H585">
        <v>19</v>
      </c>
      <c r="I585">
        <v>0</v>
      </c>
      <c r="J585">
        <f>SUM(C585:I585)</f>
        <v>203</v>
      </c>
      <c r="L585"/>
    </row>
    <row r="586" spans="1:12" x14ac:dyDescent="0.35">
      <c r="A586" t="s">
        <v>60</v>
      </c>
      <c r="B586">
        <v>2017</v>
      </c>
      <c r="C586">
        <v>25</v>
      </c>
      <c r="D586">
        <v>0</v>
      </c>
      <c r="E586">
        <v>0</v>
      </c>
      <c r="F586">
        <v>64</v>
      </c>
      <c r="G586">
        <v>2</v>
      </c>
      <c r="H586">
        <v>20</v>
      </c>
      <c r="I586">
        <v>0</v>
      </c>
      <c r="J586">
        <f>SUM(C586:I586)</f>
        <v>111</v>
      </c>
      <c r="L586"/>
    </row>
    <row r="587" spans="1:12" x14ac:dyDescent="0.35">
      <c r="A587" t="s">
        <v>65</v>
      </c>
      <c r="B587">
        <v>2017</v>
      </c>
      <c r="C587">
        <v>17</v>
      </c>
      <c r="D587">
        <v>27</v>
      </c>
      <c r="E587">
        <v>0</v>
      </c>
      <c r="F587">
        <v>21</v>
      </c>
      <c r="G587">
        <v>7</v>
      </c>
      <c r="H587">
        <v>5</v>
      </c>
      <c r="I587">
        <v>0</v>
      </c>
      <c r="J587">
        <f>SUM(C587:I587)</f>
        <v>77</v>
      </c>
      <c r="L587"/>
    </row>
    <row r="588" spans="1:12" x14ac:dyDescent="0.35">
      <c r="A588" t="s">
        <v>72</v>
      </c>
      <c r="B588">
        <v>2017</v>
      </c>
      <c r="C588">
        <v>13</v>
      </c>
      <c r="D588">
        <v>3</v>
      </c>
      <c r="E588">
        <v>1</v>
      </c>
      <c r="F588">
        <v>38</v>
      </c>
      <c r="G588">
        <v>11</v>
      </c>
      <c r="H588">
        <v>4</v>
      </c>
      <c r="I588">
        <v>0</v>
      </c>
      <c r="J588">
        <f>SUM(C588:I588)</f>
        <v>70</v>
      </c>
      <c r="L588"/>
    </row>
    <row r="589" spans="1:12" x14ac:dyDescent="0.35">
      <c r="A589" t="s">
        <v>78</v>
      </c>
      <c r="B589">
        <v>2017</v>
      </c>
      <c r="C589">
        <v>7</v>
      </c>
      <c r="D589">
        <v>9</v>
      </c>
      <c r="E589">
        <v>2</v>
      </c>
      <c r="F589">
        <v>33</v>
      </c>
      <c r="G589">
        <v>4</v>
      </c>
      <c r="H589">
        <v>5</v>
      </c>
      <c r="I589">
        <v>0</v>
      </c>
      <c r="J589">
        <f>SUM(C589:I589)</f>
        <v>60</v>
      </c>
      <c r="L589"/>
    </row>
    <row r="590" spans="1:12" x14ac:dyDescent="0.35">
      <c r="A590" t="s">
        <v>61</v>
      </c>
      <c r="B590">
        <v>2017</v>
      </c>
      <c r="C590">
        <v>10</v>
      </c>
      <c r="D590">
        <v>7</v>
      </c>
      <c r="E590">
        <v>0</v>
      </c>
      <c r="F590">
        <v>12</v>
      </c>
      <c r="G590">
        <v>0</v>
      </c>
      <c r="H590">
        <v>3</v>
      </c>
      <c r="I590">
        <v>3</v>
      </c>
      <c r="J590">
        <f>SUM(C590:I590)</f>
        <v>35</v>
      </c>
      <c r="L590"/>
    </row>
    <row r="591" spans="1:12" x14ac:dyDescent="0.35">
      <c r="A591" t="s">
        <v>75</v>
      </c>
      <c r="B591">
        <v>2017</v>
      </c>
      <c r="C591">
        <v>7</v>
      </c>
      <c r="D591">
        <v>0</v>
      </c>
      <c r="E591">
        <v>0</v>
      </c>
      <c r="F591">
        <v>6</v>
      </c>
      <c r="G591">
        <v>1</v>
      </c>
      <c r="H591">
        <v>5</v>
      </c>
      <c r="I591">
        <v>0</v>
      </c>
      <c r="J591">
        <f>SUM(C591:I591)</f>
        <v>19</v>
      </c>
      <c r="L591"/>
    </row>
    <row r="592" spans="1:12" x14ac:dyDescent="0.35">
      <c r="A592" t="s">
        <v>74</v>
      </c>
      <c r="B592">
        <v>2017</v>
      </c>
      <c r="C592">
        <v>1</v>
      </c>
      <c r="D592">
        <v>0</v>
      </c>
      <c r="E592">
        <v>0</v>
      </c>
      <c r="F592">
        <v>3</v>
      </c>
      <c r="G592">
        <v>0</v>
      </c>
      <c r="H592">
        <v>4</v>
      </c>
      <c r="I592">
        <v>0</v>
      </c>
      <c r="J592">
        <f>SUM(C592:I592)</f>
        <v>8</v>
      </c>
      <c r="L592"/>
    </row>
    <row r="593" spans="1:12" x14ac:dyDescent="0.35">
      <c r="A593" t="s">
        <v>77</v>
      </c>
      <c r="B593">
        <v>2017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2</v>
      </c>
      <c r="I593">
        <v>0</v>
      </c>
      <c r="J593">
        <f>SUM(C593:I593)</f>
        <v>2</v>
      </c>
      <c r="L593"/>
    </row>
    <row r="594" spans="1:12" x14ac:dyDescent="0.35">
      <c r="A594" t="s">
        <v>69</v>
      </c>
      <c r="B594">
        <v>2018</v>
      </c>
      <c r="C594">
        <v>3946</v>
      </c>
      <c r="D594">
        <v>15381</v>
      </c>
      <c r="E594">
        <v>2444</v>
      </c>
      <c r="F594">
        <v>12555</v>
      </c>
      <c r="G594">
        <v>17</v>
      </c>
      <c r="H594">
        <v>14233</v>
      </c>
      <c r="I594">
        <v>27</v>
      </c>
      <c r="J594">
        <f>SUM(C594:I594)</f>
        <v>48603</v>
      </c>
      <c r="L594"/>
    </row>
    <row r="595" spans="1:12" x14ac:dyDescent="0.35">
      <c r="A595" t="s">
        <v>57</v>
      </c>
      <c r="B595">
        <v>2018</v>
      </c>
      <c r="C595">
        <v>2142</v>
      </c>
      <c r="D595">
        <v>6825</v>
      </c>
      <c r="E595">
        <v>200</v>
      </c>
      <c r="F595">
        <v>10835</v>
      </c>
      <c r="G595">
        <v>1074</v>
      </c>
      <c r="H595">
        <v>6862</v>
      </c>
      <c r="I595">
        <v>200</v>
      </c>
      <c r="J595">
        <f>SUM(C595:I595)</f>
        <v>28138</v>
      </c>
      <c r="L595"/>
    </row>
    <row r="596" spans="1:12" x14ac:dyDescent="0.35">
      <c r="A596" t="s">
        <v>71</v>
      </c>
      <c r="B596">
        <v>2018</v>
      </c>
      <c r="C596">
        <v>1069</v>
      </c>
      <c r="D596">
        <v>4249</v>
      </c>
      <c r="E596">
        <v>444</v>
      </c>
      <c r="F596">
        <v>3399</v>
      </c>
      <c r="G596">
        <v>391</v>
      </c>
      <c r="H596">
        <v>16951</v>
      </c>
      <c r="I596">
        <v>97</v>
      </c>
      <c r="J596">
        <f>SUM(C596:I596)</f>
        <v>26600</v>
      </c>
      <c r="L596"/>
    </row>
    <row r="597" spans="1:12" x14ac:dyDescent="0.35">
      <c r="A597" t="s">
        <v>64</v>
      </c>
      <c r="B597">
        <v>2018</v>
      </c>
      <c r="C597">
        <v>4335</v>
      </c>
      <c r="D597">
        <v>4247</v>
      </c>
      <c r="E597">
        <v>404</v>
      </c>
      <c r="F597">
        <v>5249</v>
      </c>
      <c r="G597">
        <v>34</v>
      </c>
      <c r="H597">
        <v>12250</v>
      </c>
      <c r="I597">
        <v>62</v>
      </c>
      <c r="J597">
        <f>SUM(C597:I597)</f>
        <v>26581</v>
      </c>
      <c r="L597"/>
    </row>
    <row r="598" spans="1:12" x14ac:dyDescent="0.35">
      <c r="A598" t="s">
        <v>56</v>
      </c>
      <c r="B598">
        <v>2018</v>
      </c>
      <c r="C598">
        <v>5433</v>
      </c>
      <c r="D598">
        <v>6126</v>
      </c>
      <c r="E598">
        <v>547</v>
      </c>
      <c r="F598">
        <v>8790</v>
      </c>
      <c r="G598">
        <v>270</v>
      </c>
      <c r="H598">
        <v>4159</v>
      </c>
      <c r="I598">
        <v>40</v>
      </c>
      <c r="J598">
        <f>SUM(C598:I598)</f>
        <v>25365</v>
      </c>
      <c r="L598"/>
    </row>
    <row r="599" spans="1:12" x14ac:dyDescent="0.35">
      <c r="A599" t="s">
        <v>45</v>
      </c>
      <c r="B599">
        <v>2018</v>
      </c>
      <c r="C599">
        <v>1648</v>
      </c>
      <c r="D599">
        <v>6401</v>
      </c>
      <c r="E599">
        <v>173</v>
      </c>
      <c r="F599">
        <v>4180</v>
      </c>
      <c r="G599">
        <v>171</v>
      </c>
      <c r="H599">
        <v>11136</v>
      </c>
      <c r="I599">
        <v>37</v>
      </c>
      <c r="J599">
        <f>SUM(C599:I599)</f>
        <v>23746</v>
      </c>
      <c r="L599"/>
    </row>
    <row r="600" spans="1:12" x14ac:dyDescent="0.35">
      <c r="A600" t="s">
        <v>62</v>
      </c>
      <c r="B600">
        <v>2018</v>
      </c>
      <c r="C600">
        <v>918</v>
      </c>
      <c r="D600">
        <v>2611</v>
      </c>
      <c r="E600">
        <v>372</v>
      </c>
      <c r="F600">
        <v>9973</v>
      </c>
      <c r="G600">
        <v>506</v>
      </c>
      <c r="H600">
        <v>1984</v>
      </c>
      <c r="I600">
        <v>10</v>
      </c>
      <c r="J600">
        <f>SUM(C600:I600)</f>
        <v>16374</v>
      </c>
      <c r="L600"/>
    </row>
    <row r="601" spans="1:12" x14ac:dyDescent="0.35">
      <c r="A601" t="s">
        <v>43</v>
      </c>
      <c r="B601">
        <v>2018</v>
      </c>
      <c r="C601">
        <v>971</v>
      </c>
      <c r="D601">
        <v>697</v>
      </c>
      <c r="E601">
        <v>140</v>
      </c>
      <c r="F601">
        <v>4445</v>
      </c>
      <c r="G601">
        <v>1802</v>
      </c>
      <c r="H601">
        <v>6831</v>
      </c>
      <c r="I601">
        <v>152</v>
      </c>
      <c r="J601">
        <f>SUM(C601:I601)</f>
        <v>15038</v>
      </c>
      <c r="L601"/>
    </row>
    <row r="602" spans="1:12" x14ac:dyDescent="0.35">
      <c r="A602" t="s">
        <v>67</v>
      </c>
      <c r="B602">
        <v>2018</v>
      </c>
      <c r="C602">
        <v>606</v>
      </c>
      <c r="D602">
        <v>1121</v>
      </c>
      <c r="E602">
        <v>186</v>
      </c>
      <c r="F602">
        <v>4567</v>
      </c>
      <c r="G602">
        <v>878</v>
      </c>
      <c r="H602">
        <v>6286</v>
      </c>
      <c r="I602">
        <v>81</v>
      </c>
      <c r="J602">
        <f>SUM(C602:I602)</f>
        <v>13725</v>
      </c>
      <c r="L602"/>
    </row>
    <row r="603" spans="1:12" x14ac:dyDescent="0.35">
      <c r="A603" t="s">
        <v>46</v>
      </c>
      <c r="B603">
        <v>2018</v>
      </c>
      <c r="C603">
        <v>651</v>
      </c>
      <c r="D603">
        <v>7951</v>
      </c>
      <c r="E603">
        <v>1107</v>
      </c>
      <c r="F603">
        <v>262</v>
      </c>
      <c r="G603">
        <v>30</v>
      </c>
      <c r="H603">
        <v>2539</v>
      </c>
      <c r="I603">
        <v>49</v>
      </c>
      <c r="J603">
        <f>SUM(C603:I603)</f>
        <v>12589</v>
      </c>
      <c r="L603"/>
    </row>
    <row r="604" spans="1:12" x14ac:dyDescent="0.35">
      <c r="A604" t="s">
        <v>50</v>
      </c>
      <c r="B604">
        <v>2018</v>
      </c>
      <c r="C604">
        <v>1296</v>
      </c>
      <c r="D604">
        <v>3419</v>
      </c>
      <c r="E604">
        <v>216</v>
      </c>
      <c r="F604">
        <v>2671</v>
      </c>
      <c r="G604">
        <v>192</v>
      </c>
      <c r="H604">
        <v>4154</v>
      </c>
      <c r="I604">
        <v>43</v>
      </c>
      <c r="J604">
        <f>SUM(C604:I604)</f>
        <v>11991</v>
      </c>
      <c r="L604"/>
    </row>
    <row r="605" spans="1:12" x14ac:dyDescent="0.35">
      <c r="A605" t="s">
        <v>76</v>
      </c>
      <c r="B605">
        <v>2018</v>
      </c>
      <c r="C605">
        <v>1215</v>
      </c>
      <c r="D605">
        <v>3715</v>
      </c>
      <c r="E605">
        <v>153</v>
      </c>
      <c r="F605">
        <v>2705</v>
      </c>
      <c r="G605">
        <v>552</v>
      </c>
      <c r="H605">
        <v>3416</v>
      </c>
      <c r="I605">
        <v>1</v>
      </c>
      <c r="J605">
        <f>SUM(C605:I605)</f>
        <v>11757</v>
      </c>
      <c r="L605"/>
    </row>
    <row r="606" spans="1:12" x14ac:dyDescent="0.35">
      <c r="A606" t="s">
        <v>54</v>
      </c>
      <c r="B606">
        <v>2018</v>
      </c>
      <c r="C606">
        <v>492</v>
      </c>
      <c r="D606">
        <v>1240</v>
      </c>
      <c r="E606">
        <v>200</v>
      </c>
      <c r="F606">
        <v>5204</v>
      </c>
      <c r="G606">
        <v>138</v>
      </c>
      <c r="H606">
        <v>2053</v>
      </c>
      <c r="I606">
        <v>179</v>
      </c>
      <c r="J606">
        <f>SUM(C606:I606)</f>
        <v>9506</v>
      </c>
      <c r="L606"/>
    </row>
    <row r="607" spans="1:12" x14ac:dyDescent="0.35">
      <c r="A607" t="s">
        <v>55</v>
      </c>
      <c r="B607">
        <v>2018</v>
      </c>
      <c r="C607">
        <v>1945</v>
      </c>
      <c r="D607">
        <v>173</v>
      </c>
      <c r="E607">
        <v>17</v>
      </c>
      <c r="F607">
        <v>4544</v>
      </c>
      <c r="G607">
        <v>461</v>
      </c>
      <c r="H607">
        <v>2046</v>
      </c>
      <c r="I607">
        <v>4</v>
      </c>
      <c r="J607">
        <f>SUM(C607:I607)</f>
        <v>9190</v>
      </c>
      <c r="L607"/>
    </row>
    <row r="608" spans="1:12" x14ac:dyDescent="0.35">
      <c r="A608" t="s">
        <v>47</v>
      </c>
      <c r="B608">
        <v>2018</v>
      </c>
      <c r="C608">
        <v>2091</v>
      </c>
      <c r="D608">
        <v>1842</v>
      </c>
      <c r="E608">
        <v>79</v>
      </c>
      <c r="F608">
        <v>1854</v>
      </c>
      <c r="G608">
        <v>184</v>
      </c>
      <c r="H608">
        <v>503</v>
      </c>
      <c r="I608">
        <v>15</v>
      </c>
      <c r="J608">
        <f>SUM(C608:I608)</f>
        <v>6568</v>
      </c>
      <c r="L608"/>
    </row>
    <row r="609" spans="1:12" x14ac:dyDescent="0.35">
      <c r="A609" t="s">
        <v>49</v>
      </c>
      <c r="B609">
        <v>2018</v>
      </c>
      <c r="C609">
        <v>553</v>
      </c>
      <c r="D609">
        <v>1024</v>
      </c>
      <c r="E609">
        <v>9</v>
      </c>
      <c r="F609">
        <v>1208</v>
      </c>
      <c r="G609">
        <v>12</v>
      </c>
      <c r="H609">
        <v>2923</v>
      </c>
      <c r="I609">
        <v>34</v>
      </c>
      <c r="J609">
        <f>SUM(C609:I609)</f>
        <v>5763</v>
      </c>
      <c r="L609"/>
    </row>
    <row r="610" spans="1:12" x14ac:dyDescent="0.35">
      <c r="A610" t="s">
        <v>53</v>
      </c>
      <c r="B610">
        <v>2018</v>
      </c>
      <c r="C610">
        <v>1090</v>
      </c>
      <c r="D610">
        <v>1018</v>
      </c>
      <c r="E610">
        <v>252</v>
      </c>
      <c r="F610">
        <v>1378</v>
      </c>
      <c r="G610">
        <v>37</v>
      </c>
      <c r="H610">
        <v>1032</v>
      </c>
      <c r="I610">
        <v>9</v>
      </c>
      <c r="J610">
        <f>SUM(C610:I610)</f>
        <v>4816</v>
      </c>
      <c r="L610"/>
    </row>
    <row r="611" spans="1:12" x14ac:dyDescent="0.35">
      <c r="A611" t="s">
        <v>63</v>
      </c>
      <c r="B611">
        <v>2018</v>
      </c>
      <c r="C611">
        <v>831</v>
      </c>
      <c r="D611">
        <v>1266</v>
      </c>
      <c r="E611">
        <v>67</v>
      </c>
      <c r="F611">
        <v>956</v>
      </c>
      <c r="G611">
        <v>19</v>
      </c>
      <c r="H611">
        <v>1470</v>
      </c>
      <c r="I611">
        <v>6</v>
      </c>
      <c r="J611">
        <f>SUM(C611:I611)</f>
        <v>4615</v>
      </c>
      <c r="L611"/>
    </row>
    <row r="612" spans="1:12" x14ac:dyDescent="0.35">
      <c r="A612" t="s">
        <v>52</v>
      </c>
      <c r="B612">
        <v>2018</v>
      </c>
      <c r="C612">
        <v>320</v>
      </c>
      <c r="D612">
        <v>1061</v>
      </c>
      <c r="E612">
        <v>8</v>
      </c>
      <c r="F612">
        <v>1597</v>
      </c>
      <c r="G612">
        <v>25</v>
      </c>
      <c r="H612">
        <v>325</v>
      </c>
      <c r="I612">
        <v>1</v>
      </c>
      <c r="J612">
        <f>SUM(C612:I612)</f>
        <v>3337</v>
      </c>
      <c r="L612"/>
    </row>
    <row r="613" spans="1:12" x14ac:dyDescent="0.35">
      <c r="A613" t="s">
        <v>66</v>
      </c>
      <c r="B613">
        <v>2018</v>
      </c>
      <c r="C613">
        <v>331</v>
      </c>
      <c r="D613">
        <v>896</v>
      </c>
      <c r="E613">
        <v>55</v>
      </c>
      <c r="F613">
        <v>814</v>
      </c>
      <c r="G613">
        <v>14</v>
      </c>
      <c r="H613">
        <v>789</v>
      </c>
      <c r="I613">
        <v>386</v>
      </c>
      <c r="J613">
        <f>SUM(C613:I613)</f>
        <v>3285</v>
      </c>
      <c r="L613"/>
    </row>
    <row r="614" spans="1:12" x14ac:dyDescent="0.35">
      <c r="A614" t="s">
        <v>70</v>
      </c>
      <c r="B614">
        <v>2018</v>
      </c>
      <c r="C614">
        <v>561</v>
      </c>
      <c r="D614">
        <v>502</v>
      </c>
      <c r="E614">
        <v>63</v>
      </c>
      <c r="F614">
        <v>548</v>
      </c>
      <c r="G614">
        <v>8</v>
      </c>
      <c r="H614">
        <v>622</v>
      </c>
      <c r="I614">
        <v>0</v>
      </c>
      <c r="J614">
        <f>SUM(C614:I614)</f>
        <v>2304</v>
      </c>
      <c r="L614"/>
    </row>
    <row r="615" spans="1:12" x14ac:dyDescent="0.35">
      <c r="A615" t="s">
        <v>51</v>
      </c>
      <c r="B615">
        <v>2018</v>
      </c>
      <c r="C615">
        <v>344</v>
      </c>
      <c r="D615">
        <v>341</v>
      </c>
      <c r="E615">
        <v>4</v>
      </c>
      <c r="F615">
        <v>513</v>
      </c>
      <c r="G615">
        <v>78</v>
      </c>
      <c r="H615">
        <v>183</v>
      </c>
      <c r="I615">
        <v>10</v>
      </c>
      <c r="J615">
        <f>SUM(C615:I615)</f>
        <v>1473</v>
      </c>
      <c r="L615"/>
    </row>
    <row r="616" spans="1:12" x14ac:dyDescent="0.35">
      <c r="A616" t="s">
        <v>68</v>
      </c>
      <c r="B616">
        <v>2018</v>
      </c>
      <c r="C616">
        <v>97</v>
      </c>
      <c r="D616">
        <v>139</v>
      </c>
      <c r="E616">
        <v>18</v>
      </c>
      <c r="F616">
        <v>165</v>
      </c>
      <c r="G616">
        <v>6</v>
      </c>
      <c r="H616">
        <v>303</v>
      </c>
      <c r="I616">
        <v>2</v>
      </c>
      <c r="J616">
        <f>SUM(C616:I616)</f>
        <v>730</v>
      </c>
      <c r="L616"/>
    </row>
    <row r="617" spans="1:12" x14ac:dyDescent="0.35">
      <c r="A617" t="s">
        <v>73</v>
      </c>
      <c r="B617">
        <v>2018</v>
      </c>
      <c r="C617">
        <v>86</v>
      </c>
      <c r="D617">
        <v>139</v>
      </c>
      <c r="E617">
        <v>6</v>
      </c>
      <c r="F617">
        <v>100</v>
      </c>
      <c r="G617">
        <v>3</v>
      </c>
      <c r="H617">
        <v>93</v>
      </c>
      <c r="I617">
        <v>0</v>
      </c>
      <c r="J617">
        <f>SUM(C617:I617)</f>
        <v>427</v>
      </c>
      <c r="L617"/>
    </row>
    <row r="618" spans="1:12" x14ac:dyDescent="0.35">
      <c r="A618" t="s">
        <v>44</v>
      </c>
      <c r="B618">
        <v>2018</v>
      </c>
      <c r="C618">
        <v>67</v>
      </c>
      <c r="D618">
        <v>87</v>
      </c>
      <c r="E618">
        <v>0</v>
      </c>
      <c r="F618">
        <v>103</v>
      </c>
      <c r="G618">
        <v>12</v>
      </c>
      <c r="H618">
        <v>60</v>
      </c>
      <c r="I618">
        <v>0</v>
      </c>
      <c r="J618">
        <f>SUM(C618:I618)</f>
        <v>329</v>
      </c>
      <c r="L618"/>
    </row>
    <row r="619" spans="1:12" x14ac:dyDescent="0.35">
      <c r="A619" t="s">
        <v>48</v>
      </c>
      <c r="B619">
        <v>2018</v>
      </c>
      <c r="C619">
        <v>61</v>
      </c>
      <c r="D619">
        <v>78</v>
      </c>
      <c r="E619">
        <v>0</v>
      </c>
      <c r="F619">
        <v>125</v>
      </c>
      <c r="G619">
        <v>26</v>
      </c>
      <c r="H619">
        <v>9</v>
      </c>
      <c r="I619">
        <v>7</v>
      </c>
      <c r="J619">
        <f>SUM(C619:I619)</f>
        <v>306</v>
      </c>
      <c r="L619"/>
    </row>
    <row r="620" spans="1:12" x14ac:dyDescent="0.35">
      <c r="A620" t="s">
        <v>59</v>
      </c>
      <c r="B620">
        <v>2018</v>
      </c>
      <c r="C620">
        <v>87</v>
      </c>
      <c r="D620">
        <v>58</v>
      </c>
      <c r="E620">
        <v>1</v>
      </c>
      <c r="F620">
        <v>95</v>
      </c>
      <c r="G620">
        <v>16</v>
      </c>
      <c r="H620">
        <v>18</v>
      </c>
      <c r="I620">
        <v>2</v>
      </c>
      <c r="J620">
        <f>SUM(C620:I620)</f>
        <v>277</v>
      </c>
      <c r="L620"/>
    </row>
    <row r="621" spans="1:12" x14ac:dyDescent="0.35">
      <c r="A621" t="s">
        <v>58</v>
      </c>
      <c r="B621">
        <v>2018</v>
      </c>
      <c r="C621">
        <v>52</v>
      </c>
      <c r="D621">
        <v>85</v>
      </c>
      <c r="E621">
        <v>0</v>
      </c>
      <c r="F621">
        <v>56</v>
      </c>
      <c r="G621">
        <v>8</v>
      </c>
      <c r="H621">
        <v>14</v>
      </c>
      <c r="I621">
        <v>0</v>
      </c>
      <c r="J621">
        <f>SUM(C621:I621)</f>
        <v>215</v>
      </c>
      <c r="L621"/>
    </row>
    <row r="622" spans="1:12" x14ac:dyDescent="0.35">
      <c r="A622" t="s">
        <v>60</v>
      </c>
      <c r="B622">
        <v>2018</v>
      </c>
      <c r="C622">
        <v>50</v>
      </c>
      <c r="D622">
        <v>1</v>
      </c>
      <c r="E622">
        <v>0</v>
      </c>
      <c r="F622">
        <v>67</v>
      </c>
      <c r="G622">
        <v>1</v>
      </c>
      <c r="H622">
        <v>6</v>
      </c>
      <c r="I622">
        <v>0</v>
      </c>
      <c r="J622">
        <f>SUM(C622:I622)</f>
        <v>125</v>
      </c>
      <c r="L622"/>
    </row>
    <row r="623" spans="1:12" x14ac:dyDescent="0.35">
      <c r="A623" t="s">
        <v>78</v>
      </c>
      <c r="B623">
        <v>2018</v>
      </c>
      <c r="C623">
        <v>0</v>
      </c>
      <c r="D623">
        <v>14</v>
      </c>
      <c r="E623">
        <v>0</v>
      </c>
      <c r="F623">
        <v>60</v>
      </c>
      <c r="G623">
        <v>9</v>
      </c>
      <c r="H623">
        <v>8</v>
      </c>
      <c r="I623">
        <v>4</v>
      </c>
      <c r="J623">
        <f>SUM(C623:I623)</f>
        <v>95</v>
      </c>
      <c r="L623"/>
    </row>
    <row r="624" spans="1:12" x14ac:dyDescent="0.35">
      <c r="A624" t="s">
        <v>72</v>
      </c>
      <c r="B624">
        <v>2018</v>
      </c>
      <c r="C624">
        <v>30</v>
      </c>
      <c r="D624">
        <v>2</v>
      </c>
      <c r="E624">
        <v>0</v>
      </c>
      <c r="F624">
        <v>35</v>
      </c>
      <c r="G624">
        <v>4</v>
      </c>
      <c r="H624">
        <v>4</v>
      </c>
      <c r="I624">
        <v>0</v>
      </c>
      <c r="J624">
        <f>SUM(C624:I624)</f>
        <v>75</v>
      </c>
      <c r="L624"/>
    </row>
    <row r="625" spans="1:12" x14ac:dyDescent="0.35">
      <c r="A625" t="s">
        <v>61</v>
      </c>
      <c r="B625">
        <v>2018</v>
      </c>
      <c r="C625">
        <v>10</v>
      </c>
      <c r="D625">
        <v>35</v>
      </c>
      <c r="E625">
        <v>0</v>
      </c>
      <c r="F625">
        <v>10</v>
      </c>
      <c r="G625">
        <v>5</v>
      </c>
      <c r="H625">
        <v>3</v>
      </c>
      <c r="I625">
        <v>1</v>
      </c>
      <c r="J625">
        <f>SUM(C625:I625)</f>
        <v>64</v>
      </c>
      <c r="L625"/>
    </row>
    <row r="626" spans="1:12" x14ac:dyDescent="0.35">
      <c r="A626" t="s">
        <v>65</v>
      </c>
      <c r="B626">
        <v>2018</v>
      </c>
      <c r="C626">
        <v>16</v>
      </c>
      <c r="D626">
        <v>7</v>
      </c>
      <c r="E626">
        <v>1</v>
      </c>
      <c r="F626">
        <v>23</v>
      </c>
      <c r="G626">
        <v>5</v>
      </c>
      <c r="H626">
        <v>1</v>
      </c>
      <c r="I626">
        <v>0</v>
      </c>
      <c r="J626">
        <f>SUM(C626:I626)</f>
        <v>53</v>
      </c>
      <c r="L626"/>
    </row>
    <row r="627" spans="1:12" x14ac:dyDescent="0.35">
      <c r="A627" t="s">
        <v>74</v>
      </c>
      <c r="B627">
        <v>2018</v>
      </c>
      <c r="C627">
        <v>7</v>
      </c>
      <c r="D627">
        <v>0</v>
      </c>
      <c r="E627">
        <v>0</v>
      </c>
      <c r="F627">
        <v>6</v>
      </c>
      <c r="G627">
        <v>2</v>
      </c>
      <c r="H627">
        <v>1</v>
      </c>
      <c r="I627">
        <v>0</v>
      </c>
      <c r="J627">
        <f>SUM(C627:I627)</f>
        <v>16</v>
      </c>
      <c r="L627"/>
    </row>
    <row r="628" spans="1:12" x14ac:dyDescent="0.35">
      <c r="A628" t="s">
        <v>75</v>
      </c>
      <c r="B628">
        <v>2018</v>
      </c>
      <c r="C628">
        <v>3</v>
      </c>
      <c r="D628">
        <v>0</v>
      </c>
      <c r="E628">
        <v>0</v>
      </c>
      <c r="F628">
        <v>5</v>
      </c>
      <c r="G628">
        <v>1</v>
      </c>
      <c r="H628">
        <v>4</v>
      </c>
      <c r="I628">
        <v>0</v>
      </c>
      <c r="J628">
        <f>SUM(C628:I628)</f>
        <v>13</v>
      </c>
      <c r="L628"/>
    </row>
    <row r="629" spans="1:12" x14ac:dyDescent="0.35">
      <c r="A629" t="s">
        <v>77</v>
      </c>
      <c r="B629">
        <v>2018</v>
      </c>
      <c r="C629">
        <v>2</v>
      </c>
      <c r="D629">
        <v>0</v>
      </c>
      <c r="E629">
        <v>0</v>
      </c>
      <c r="F629">
        <v>0</v>
      </c>
      <c r="G629">
        <v>1</v>
      </c>
      <c r="H629">
        <v>1</v>
      </c>
      <c r="I629">
        <v>0</v>
      </c>
      <c r="J629">
        <f>SUM(C629:I629)</f>
        <v>4</v>
      </c>
      <c r="L629"/>
    </row>
    <row r="630" spans="1:12" x14ac:dyDescent="0.35">
      <c r="A630" t="s">
        <v>69</v>
      </c>
      <c r="B630">
        <v>2019</v>
      </c>
      <c r="C630">
        <v>3065</v>
      </c>
      <c r="D630">
        <v>11649</v>
      </c>
      <c r="E630">
        <v>2410</v>
      </c>
      <c r="F630">
        <v>11988</v>
      </c>
      <c r="G630">
        <v>42</v>
      </c>
      <c r="H630">
        <v>18304</v>
      </c>
      <c r="I630">
        <v>22</v>
      </c>
      <c r="J630">
        <f>SUM(C630:I630)</f>
        <v>47480</v>
      </c>
      <c r="L630"/>
    </row>
    <row r="631" spans="1:12" x14ac:dyDescent="0.35">
      <c r="A631" t="s">
        <v>64</v>
      </c>
      <c r="B631">
        <v>2019</v>
      </c>
      <c r="C631">
        <v>5997</v>
      </c>
      <c r="D631">
        <v>5907</v>
      </c>
      <c r="E631">
        <v>452</v>
      </c>
      <c r="F631">
        <v>8802</v>
      </c>
      <c r="G631">
        <v>69</v>
      </c>
      <c r="H631">
        <v>18432</v>
      </c>
      <c r="I631">
        <v>40</v>
      </c>
      <c r="J631">
        <f>SUM(C631:I631)</f>
        <v>39699</v>
      </c>
      <c r="L631"/>
    </row>
    <row r="632" spans="1:12" x14ac:dyDescent="0.35">
      <c r="A632" t="s">
        <v>57</v>
      </c>
      <c r="B632">
        <v>2019</v>
      </c>
      <c r="C632">
        <v>2299</v>
      </c>
      <c r="D632">
        <v>6906</v>
      </c>
      <c r="E632">
        <v>196</v>
      </c>
      <c r="F632">
        <v>10472</v>
      </c>
      <c r="G632">
        <v>1074</v>
      </c>
      <c r="H632">
        <v>8430</v>
      </c>
      <c r="I632">
        <v>152</v>
      </c>
      <c r="J632">
        <f>SUM(C632:I632)</f>
        <v>29529</v>
      </c>
      <c r="L632"/>
    </row>
    <row r="633" spans="1:12" x14ac:dyDescent="0.35">
      <c r="A633" t="s">
        <v>71</v>
      </c>
      <c r="B633">
        <v>2019</v>
      </c>
      <c r="C633">
        <v>1069</v>
      </c>
      <c r="D633">
        <v>4249</v>
      </c>
      <c r="E633">
        <v>444</v>
      </c>
      <c r="F633">
        <v>3399</v>
      </c>
      <c r="G633">
        <v>391</v>
      </c>
      <c r="H633">
        <v>16951</v>
      </c>
      <c r="I633">
        <v>97</v>
      </c>
      <c r="J633">
        <f>SUM(C633:I633)</f>
        <v>26600</v>
      </c>
      <c r="L633"/>
    </row>
    <row r="634" spans="1:12" x14ac:dyDescent="0.35">
      <c r="A634" t="s">
        <v>45</v>
      </c>
      <c r="B634">
        <v>2019</v>
      </c>
      <c r="C634">
        <v>1773</v>
      </c>
      <c r="D634">
        <v>6989</v>
      </c>
      <c r="E634">
        <v>156</v>
      </c>
      <c r="F634">
        <v>4619</v>
      </c>
      <c r="G634">
        <v>385</v>
      </c>
      <c r="H634">
        <v>11943</v>
      </c>
      <c r="I634">
        <v>12</v>
      </c>
      <c r="J634">
        <f>SUM(C634:I634)</f>
        <v>25877</v>
      </c>
      <c r="L634"/>
    </row>
    <row r="635" spans="1:12" x14ac:dyDescent="0.35">
      <c r="A635" t="s">
        <v>56</v>
      </c>
      <c r="B635">
        <v>2019</v>
      </c>
      <c r="C635">
        <v>2485</v>
      </c>
      <c r="D635">
        <v>6091</v>
      </c>
      <c r="E635">
        <v>550</v>
      </c>
      <c r="F635">
        <v>5585</v>
      </c>
      <c r="G635">
        <v>174</v>
      </c>
      <c r="H635">
        <v>5486</v>
      </c>
      <c r="I635">
        <v>21</v>
      </c>
      <c r="J635">
        <f>SUM(C635:I635)</f>
        <v>20392</v>
      </c>
      <c r="L635"/>
    </row>
    <row r="636" spans="1:12" x14ac:dyDescent="0.35">
      <c r="A636" t="s">
        <v>62</v>
      </c>
      <c r="B636">
        <v>2019</v>
      </c>
      <c r="C636">
        <v>1382</v>
      </c>
      <c r="D636">
        <v>3934</v>
      </c>
      <c r="E636">
        <v>342</v>
      </c>
      <c r="F636">
        <v>11308</v>
      </c>
      <c r="G636">
        <v>536</v>
      </c>
      <c r="H636">
        <v>2739</v>
      </c>
      <c r="I636">
        <v>19</v>
      </c>
      <c r="J636">
        <f>SUM(C636:I636)</f>
        <v>20260</v>
      </c>
      <c r="L636"/>
    </row>
    <row r="637" spans="1:12" x14ac:dyDescent="0.35">
      <c r="A637" t="s">
        <v>43</v>
      </c>
      <c r="B637">
        <v>2019</v>
      </c>
      <c r="C637">
        <v>1086</v>
      </c>
      <c r="D637">
        <v>589</v>
      </c>
      <c r="E637">
        <v>112</v>
      </c>
      <c r="F637">
        <v>4444</v>
      </c>
      <c r="G637">
        <v>1892</v>
      </c>
      <c r="H637">
        <v>7851</v>
      </c>
      <c r="I637">
        <v>88</v>
      </c>
      <c r="J637">
        <f>SUM(C637:I637)</f>
        <v>16062</v>
      </c>
      <c r="L637"/>
    </row>
    <row r="638" spans="1:12" x14ac:dyDescent="0.35">
      <c r="A638" t="s">
        <v>67</v>
      </c>
      <c r="B638">
        <v>2019</v>
      </c>
      <c r="C638">
        <v>873</v>
      </c>
      <c r="D638">
        <v>1322</v>
      </c>
      <c r="E638">
        <v>163</v>
      </c>
      <c r="F638">
        <v>4190</v>
      </c>
      <c r="G638">
        <v>695</v>
      </c>
      <c r="H638">
        <v>8541</v>
      </c>
      <c r="I638">
        <v>22</v>
      </c>
      <c r="J638">
        <f>SUM(C638:I638)</f>
        <v>15806</v>
      </c>
      <c r="L638"/>
    </row>
    <row r="639" spans="1:12" x14ac:dyDescent="0.35">
      <c r="A639" t="s">
        <v>46</v>
      </c>
      <c r="B639">
        <v>2019</v>
      </c>
      <c r="C639">
        <v>730</v>
      </c>
      <c r="D639">
        <v>9025</v>
      </c>
      <c r="E639">
        <v>1120</v>
      </c>
      <c r="F639">
        <v>312</v>
      </c>
      <c r="G639">
        <v>11</v>
      </c>
      <c r="H639">
        <v>2397</v>
      </c>
      <c r="I639">
        <v>40</v>
      </c>
      <c r="J639">
        <f>SUM(C639:I639)</f>
        <v>13635</v>
      </c>
      <c r="L639"/>
    </row>
    <row r="640" spans="1:12" x14ac:dyDescent="0.35">
      <c r="A640" t="s">
        <v>50</v>
      </c>
      <c r="B640">
        <v>2019</v>
      </c>
      <c r="C640">
        <v>1480</v>
      </c>
      <c r="D640">
        <v>2803</v>
      </c>
      <c r="E640">
        <v>248</v>
      </c>
      <c r="F640">
        <v>2581</v>
      </c>
      <c r="G640">
        <v>173</v>
      </c>
      <c r="H640">
        <v>4867</v>
      </c>
      <c r="I640">
        <v>28</v>
      </c>
      <c r="J640">
        <f>SUM(C640:I640)</f>
        <v>12180</v>
      </c>
      <c r="L640"/>
    </row>
    <row r="641" spans="1:12" x14ac:dyDescent="0.35">
      <c r="A641" t="s">
        <v>76</v>
      </c>
      <c r="B641">
        <v>2019</v>
      </c>
      <c r="C641">
        <v>1253</v>
      </c>
      <c r="D641">
        <v>3672</v>
      </c>
      <c r="E641">
        <v>116</v>
      </c>
      <c r="F641">
        <v>2355</v>
      </c>
      <c r="G641">
        <v>456</v>
      </c>
      <c r="H641">
        <v>3792</v>
      </c>
      <c r="I641">
        <v>4</v>
      </c>
      <c r="J641">
        <f>SUM(C641:I641)</f>
        <v>11648</v>
      </c>
      <c r="L641"/>
    </row>
    <row r="642" spans="1:12" x14ac:dyDescent="0.35">
      <c r="A642" t="s">
        <v>55</v>
      </c>
      <c r="B642">
        <v>2019</v>
      </c>
      <c r="C642">
        <v>2023</v>
      </c>
      <c r="D642">
        <v>227</v>
      </c>
      <c r="E642">
        <v>8</v>
      </c>
      <c r="F642">
        <v>4507</v>
      </c>
      <c r="G642">
        <v>435</v>
      </c>
      <c r="H642">
        <v>2970</v>
      </c>
      <c r="I642">
        <v>10</v>
      </c>
      <c r="J642">
        <f>SUM(C642:I642)</f>
        <v>10180</v>
      </c>
      <c r="L642"/>
    </row>
    <row r="643" spans="1:12" x14ac:dyDescent="0.35">
      <c r="A643" t="s">
        <v>54</v>
      </c>
      <c r="B643">
        <v>2019</v>
      </c>
      <c r="C643">
        <v>505</v>
      </c>
      <c r="D643">
        <v>1056</v>
      </c>
      <c r="E643">
        <v>194</v>
      </c>
      <c r="F643">
        <v>4937</v>
      </c>
      <c r="G643">
        <v>107</v>
      </c>
      <c r="H643">
        <v>2472</v>
      </c>
      <c r="I643">
        <v>214</v>
      </c>
      <c r="J643">
        <f>SUM(C643:I643)</f>
        <v>9485</v>
      </c>
      <c r="L643"/>
    </row>
    <row r="644" spans="1:12" x14ac:dyDescent="0.35">
      <c r="A644" t="s">
        <v>49</v>
      </c>
      <c r="B644">
        <v>2019</v>
      </c>
      <c r="C644">
        <v>528</v>
      </c>
      <c r="D644">
        <v>922</v>
      </c>
      <c r="E644">
        <v>9</v>
      </c>
      <c r="F644">
        <v>1048</v>
      </c>
      <c r="G644">
        <v>16</v>
      </c>
      <c r="H644">
        <v>3619</v>
      </c>
      <c r="I644">
        <v>24</v>
      </c>
      <c r="J644">
        <f>SUM(C644:I644)</f>
        <v>6166</v>
      </c>
      <c r="L644"/>
    </row>
    <row r="645" spans="1:12" x14ac:dyDescent="0.35">
      <c r="A645" t="s">
        <v>53</v>
      </c>
      <c r="B645">
        <v>2019</v>
      </c>
      <c r="C645">
        <v>1416</v>
      </c>
      <c r="D645">
        <v>1008</v>
      </c>
      <c r="E645">
        <v>299</v>
      </c>
      <c r="F645">
        <v>1646</v>
      </c>
      <c r="G645">
        <v>7</v>
      </c>
      <c r="H645">
        <v>1426</v>
      </c>
      <c r="I645">
        <v>4</v>
      </c>
      <c r="J645">
        <f>SUM(C645:I645)</f>
        <v>5806</v>
      </c>
      <c r="L645"/>
    </row>
    <row r="646" spans="1:12" x14ac:dyDescent="0.35">
      <c r="A646" t="s">
        <v>47</v>
      </c>
      <c r="B646">
        <v>2019</v>
      </c>
      <c r="C646">
        <v>1036</v>
      </c>
      <c r="D646">
        <v>2033</v>
      </c>
      <c r="E646">
        <v>76</v>
      </c>
      <c r="F646">
        <v>1316</v>
      </c>
      <c r="G646">
        <v>232</v>
      </c>
      <c r="H646">
        <v>732</v>
      </c>
      <c r="I646">
        <v>12</v>
      </c>
      <c r="J646">
        <f>SUM(C646:I646)</f>
        <v>5437</v>
      </c>
      <c r="L646"/>
    </row>
    <row r="647" spans="1:12" x14ac:dyDescent="0.35">
      <c r="A647" t="s">
        <v>63</v>
      </c>
      <c r="B647">
        <v>2019</v>
      </c>
      <c r="C647">
        <v>1002</v>
      </c>
      <c r="D647">
        <v>1534</v>
      </c>
      <c r="E647">
        <v>69</v>
      </c>
      <c r="F647">
        <v>944</v>
      </c>
      <c r="G647">
        <v>35</v>
      </c>
      <c r="H647">
        <v>1595</v>
      </c>
      <c r="I647">
        <v>9</v>
      </c>
      <c r="J647">
        <f>SUM(C647:I647)</f>
        <v>5188</v>
      </c>
      <c r="L647"/>
    </row>
    <row r="648" spans="1:12" x14ac:dyDescent="0.35">
      <c r="A648" t="s">
        <v>66</v>
      </c>
      <c r="B648">
        <v>2019</v>
      </c>
      <c r="C648">
        <v>362</v>
      </c>
      <c r="D648">
        <v>699</v>
      </c>
      <c r="E648">
        <v>28</v>
      </c>
      <c r="F648">
        <v>803</v>
      </c>
      <c r="G648">
        <v>7</v>
      </c>
      <c r="H648">
        <v>781</v>
      </c>
      <c r="I648">
        <v>349</v>
      </c>
      <c r="J648">
        <f>SUM(C648:I648)</f>
        <v>3029</v>
      </c>
      <c r="L648"/>
    </row>
    <row r="649" spans="1:12" x14ac:dyDescent="0.35">
      <c r="A649" t="s">
        <v>52</v>
      </c>
      <c r="B649">
        <v>2019</v>
      </c>
      <c r="C649">
        <v>223</v>
      </c>
      <c r="D649">
        <v>893</v>
      </c>
      <c r="E649">
        <v>8</v>
      </c>
      <c r="F649">
        <v>1440</v>
      </c>
      <c r="G649">
        <v>15</v>
      </c>
      <c r="H649">
        <v>347</v>
      </c>
      <c r="I649">
        <v>0</v>
      </c>
      <c r="J649">
        <f>SUM(C649:I649)</f>
        <v>2926</v>
      </c>
      <c r="L649"/>
    </row>
    <row r="650" spans="1:12" x14ac:dyDescent="0.35">
      <c r="A650" t="s">
        <v>70</v>
      </c>
      <c r="B650">
        <v>2019</v>
      </c>
      <c r="C650">
        <v>526</v>
      </c>
      <c r="D650">
        <v>375</v>
      </c>
      <c r="E650">
        <v>57</v>
      </c>
      <c r="F650">
        <v>475</v>
      </c>
      <c r="G650">
        <v>10</v>
      </c>
      <c r="H650">
        <v>644</v>
      </c>
      <c r="I650">
        <v>3</v>
      </c>
      <c r="J650">
        <f>SUM(C650:I650)</f>
        <v>2090</v>
      </c>
      <c r="L650"/>
    </row>
    <row r="651" spans="1:12" x14ac:dyDescent="0.35">
      <c r="A651" t="s">
        <v>51</v>
      </c>
      <c r="B651">
        <v>2019</v>
      </c>
      <c r="C651">
        <v>359</v>
      </c>
      <c r="D651">
        <v>337</v>
      </c>
      <c r="E651">
        <v>4</v>
      </c>
      <c r="F651">
        <v>498</v>
      </c>
      <c r="G651">
        <v>72</v>
      </c>
      <c r="H651">
        <v>228</v>
      </c>
      <c r="I651">
        <v>10</v>
      </c>
      <c r="J651">
        <f>SUM(C651:I651)</f>
        <v>1508</v>
      </c>
      <c r="L651"/>
    </row>
    <row r="652" spans="1:12" x14ac:dyDescent="0.35">
      <c r="A652" t="s">
        <v>68</v>
      </c>
      <c r="B652">
        <v>2019</v>
      </c>
      <c r="C652">
        <v>88</v>
      </c>
      <c r="D652">
        <v>138</v>
      </c>
      <c r="E652">
        <v>38</v>
      </c>
      <c r="F652">
        <v>153</v>
      </c>
      <c r="G652">
        <v>5</v>
      </c>
      <c r="H652">
        <v>451</v>
      </c>
      <c r="I652">
        <v>0</v>
      </c>
      <c r="J652">
        <f>SUM(C652:I652)</f>
        <v>873</v>
      </c>
      <c r="L652"/>
    </row>
    <row r="653" spans="1:12" x14ac:dyDescent="0.35">
      <c r="A653" t="s">
        <v>73</v>
      </c>
      <c r="B653">
        <v>2019</v>
      </c>
      <c r="C653">
        <v>112</v>
      </c>
      <c r="D653">
        <v>129</v>
      </c>
      <c r="E653">
        <v>6</v>
      </c>
      <c r="F653">
        <v>66</v>
      </c>
      <c r="G653">
        <v>15</v>
      </c>
      <c r="H653">
        <v>177</v>
      </c>
      <c r="I653">
        <v>0</v>
      </c>
      <c r="J653">
        <f>SUM(C653:I653)</f>
        <v>505</v>
      </c>
      <c r="L653"/>
    </row>
    <row r="654" spans="1:12" x14ac:dyDescent="0.35">
      <c r="A654" t="s">
        <v>59</v>
      </c>
      <c r="B654">
        <v>2019</v>
      </c>
      <c r="C654">
        <v>102</v>
      </c>
      <c r="D654">
        <v>71</v>
      </c>
      <c r="E654">
        <v>3</v>
      </c>
      <c r="F654">
        <v>96</v>
      </c>
      <c r="G654">
        <v>18</v>
      </c>
      <c r="H654">
        <v>23</v>
      </c>
      <c r="I654">
        <v>3</v>
      </c>
      <c r="J654">
        <f>SUM(C654:I654)</f>
        <v>316</v>
      </c>
      <c r="L654"/>
    </row>
    <row r="655" spans="1:12" x14ac:dyDescent="0.35">
      <c r="A655" t="s">
        <v>48</v>
      </c>
      <c r="B655">
        <v>2019</v>
      </c>
      <c r="C655">
        <v>72</v>
      </c>
      <c r="D655">
        <v>52</v>
      </c>
      <c r="E655">
        <v>1</v>
      </c>
      <c r="F655">
        <v>119</v>
      </c>
      <c r="G655">
        <v>37</v>
      </c>
      <c r="H655">
        <v>9</v>
      </c>
      <c r="I655">
        <v>1</v>
      </c>
      <c r="J655">
        <f>SUM(C655:I655)</f>
        <v>291</v>
      </c>
      <c r="L655"/>
    </row>
    <row r="656" spans="1:12" x14ac:dyDescent="0.35">
      <c r="A656" t="s">
        <v>44</v>
      </c>
      <c r="B656">
        <v>2019</v>
      </c>
      <c r="C656">
        <v>63</v>
      </c>
      <c r="D656">
        <v>68</v>
      </c>
      <c r="E656">
        <v>1</v>
      </c>
      <c r="F656">
        <v>80</v>
      </c>
      <c r="G656">
        <v>6</v>
      </c>
      <c r="H656">
        <v>54</v>
      </c>
      <c r="I656">
        <v>0</v>
      </c>
      <c r="J656">
        <f>SUM(C656:I656)</f>
        <v>272</v>
      </c>
      <c r="L656"/>
    </row>
    <row r="657" spans="1:12" x14ac:dyDescent="0.35">
      <c r="A657" t="s">
        <v>58</v>
      </c>
      <c r="B657">
        <v>2019</v>
      </c>
      <c r="C657">
        <v>36</v>
      </c>
      <c r="D657">
        <v>84</v>
      </c>
      <c r="E657">
        <v>0</v>
      </c>
      <c r="F657">
        <v>59</v>
      </c>
      <c r="G657">
        <v>7</v>
      </c>
      <c r="H657">
        <v>15</v>
      </c>
      <c r="I657">
        <v>0</v>
      </c>
      <c r="J657">
        <f>SUM(C657:I657)</f>
        <v>201</v>
      </c>
      <c r="L657"/>
    </row>
    <row r="658" spans="1:12" x14ac:dyDescent="0.35">
      <c r="A658" t="s">
        <v>60</v>
      </c>
      <c r="B658">
        <v>2019</v>
      </c>
      <c r="C658">
        <v>42</v>
      </c>
      <c r="D658">
        <v>2</v>
      </c>
      <c r="E658">
        <v>0</v>
      </c>
      <c r="F658">
        <v>35</v>
      </c>
      <c r="G658">
        <v>0</v>
      </c>
      <c r="H658">
        <v>5</v>
      </c>
      <c r="I658">
        <v>0</v>
      </c>
      <c r="J658">
        <f>SUM(C658:I658)</f>
        <v>84</v>
      </c>
      <c r="L658"/>
    </row>
    <row r="659" spans="1:12" x14ac:dyDescent="0.35">
      <c r="A659" t="s">
        <v>72</v>
      </c>
      <c r="B659">
        <v>2019</v>
      </c>
      <c r="C659">
        <v>13</v>
      </c>
      <c r="D659">
        <v>0</v>
      </c>
      <c r="E659">
        <v>0</v>
      </c>
      <c r="F659">
        <v>25</v>
      </c>
      <c r="G659">
        <v>3</v>
      </c>
      <c r="H659">
        <v>1</v>
      </c>
      <c r="I659">
        <v>0</v>
      </c>
      <c r="J659">
        <f>SUM(C659:I659)</f>
        <v>42</v>
      </c>
      <c r="L659"/>
    </row>
    <row r="660" spans="1:12" x14ac:dyDescent="0.35">
      <c r="A660" t="s">
        <v>78</v>
      </c>
      <c r="B660">
        <v>2019</v>
      </c>
      <c r="C660">
        <v>10</v>
      </c>
      <c r="D660">
        <v>0</v>
      </c>
      <c r="E660">
        <v>0</v>
      </c>
      <c r="F660">
        <v>23</v>
      </c>
      <c r="G660">
        <v>0</v>
      </c>
      <c r="H660">
        <v>8</v>
      </c>
      <c r="I660">
        <v>0</v>
      </c>
      <c r="J660">
        <f>SUM(C660:I660)</f>
        <v>41</v>
      </c>
      <c r="L660"/>
    </row>
    <row r="661" spans="1:12" x14ac:dyDescent="0.35">
      <c r="A661" t="s">
        <v>65</v>
      </c>
      <c r="B661">
        <v>2019</v>
      </c>
      <c r="C661">
        <v>11</v>
      </c>
      <c r="D661">
        <v>0</v>
      </c>
      <c r="E661">
        <v>0</v>
      </c>
      <c r="F661">
        <v>21</v>
      </c>
      <c r="G661">
        <v>2</v>
      </c>
      <c r="H661">
        <v>1</v>
      </c>
      <c r="I661">
        <v>0</v>
      </c>
      <c r="J661">
        <f>SUM(C661:I661)</f>
        <v>35</v>
      </c>
      <c r="L661"/>
    </row>
    <row r="662" spans="1:12" x14ac:dyDescent="0.35">
      <c r="A662" t="s">
        <v>61</v>
      </c>
      <c r="B662">
        <v>2019</v>
      </c>
      <c r="C662">
        <v>8</v>
      </c>
      <c r="D662">
        <v>13</v>
      </c>
      <c r="E662">
        <v>0</v>
      </c>
      <c r="F662">
        <v>8</v>
      </c>
      <c r="G662">
        <v>1</v>
      </c>
      <c r="H662">
        <v>0</v>
      </c>
      <c r="I662">
        <v>0</v>
      </c>
      <c r="J662">
        <f>SUM(C662:I662)</f>
        <v>30</v>
      </c>
      <c r="L662"/>
    </row>
    <row r="663" spans="1:12" x14ac:dyDescent="0.35">
      <c r="A663" t="s">
        <v>75</v>
      </c>
      <c r="B663">
        <v>2019</v>
      </c>
      <c r="C663">
        <v>4</v>
      </c>
      <c r="D663">
        <v>2</v>
      </c>
      <c r="E663">
        <v>2</v>
      </c>
      <c r="F663">
        <v>5</v>
      </c>
      <c r="G663">
        <v>3</v>
      </c>
      <c r="H663">
        <v>4</v>
      </c>
      <c r="I663">
        <v>1</v>
      </c>
      <c r="J663">
        <f>SUM(C663:I663)</f>
        <v>21</v>
      </c>
      <c r="L663"/>
    </row>
    <row r="664" spans="1:12" x14ac:dyDescent="0.35">
      <c r="A664" t="s">
        <v>77</v>
      </c>
      <c r="B664">
        <v>2019</v>
      </c>
      <c r="C664">
        <v>0</v>
      </c>
      <c r="D664">
        <v>0</v>
      </c>
      <c r="E664">
        <v>0</v>
      </c>
      <c r="F664">
        <v>5</v>
      </c>
      <c r="G664">
        <v>8</v>
      </c>
      <c r="H664">
        <v>0</v>
      </c>
      <c r="I664">
        <v>0</v>
      </c>
      <c r="J664">
        <f>SUM(C664:I664)</f>
        <v>13</v>
      </c>
      <c r="L664"/>
    </row>
    <row r="665" spans="1:12" x14ac:dyDescent="0.35">
      <c r="A665" t="s">
        <v>74</v>
      </c>
      <c r="B665">
        <v>2019</v>
      </c>
      <c r="C665">
        <v>0</v>
      </c>
      <c r="D665">
        <v>1</v>
      </c>
      <c r="E665">
        <v>3</v>
      </c>
      <c r="F665">
        <v>3</v>
      </c>
      <c r="G665">
        <v>0</v>
      </c>
      <c r="H665">
        <v>3</v>
      </c>
      <c r="I665">
        <v>0</v>
      </c>
      <c r="J665">
        <f>SUM(C665:I665)</f>
        <v>10</v>
      </c>
      <c r="L665"/>
    </row>
    <row r="666" spans="1:12" x14ac:dyDescent="0.35">
      <c r="A666" t="s">
        <v>68</v>
      </c>
      <c r="B666">
        <v>2020</v>
      </c>
      <c r="C666">
        <v>2769</v>
      </c>
      <c r="D666">
        <v>9109</v>
      </c>
      <c r="E666">
        <v>2274</v>
      </c>
      <c r="F666">
        <v>9864</v>
      </c>
      <c r="G666">
        <v>28</v>
      </c>
      <c r="H666">
        <v>14454</v>
      </c>
      <c r="I666">
        <v>25</v>
      </c>
      <c r="J666">
        <f>SUM(C666:I666)</f>
        <v>38523</v>
      </c>
      <c r="L666"/>
    </row>
    <row r="667" spans="1:12" x14ac:dyDescent="0.35">
      <c r="A667" t="s">
        <v>63</v>
      </c>
      <c r="B667">
        <v>2020</v>
      </c>
      <c r="C667">
        <v>5310</v>
      </c>
      <c r="D667">
        <v>4739</v>
      </c>
      <c r="E667">
        <v>479</v>
      </c>
      <c r="F667">
        <v>8661</v>
      </c>
      <c r="G667">
        <v>85</v>
      </c>
      <c r="H667">
        <v>13765</v>
      </c>
      <c r="I667">
        <v>67</v>
      </c>
      <c r="J667">
        <f>SUM(C667:I667)</f>
        <v>33106</v>
      </c>
      <c r="L667"/>
    </row>
    <row r="668" spans="1:12" x14ac:dyDescent="0.35">
      <c r="A668" t="s">
        <v>70</v>
      </c>
      <c r="B668">
        <v>2020</v>
      </c>
      <c r="C668">
        <v>1128</v>
      </c>
      <c r="D668">
        <v>7740</v>
      </c>
      <c r="E668">
        <v>522</v>
      </c>
      <c r="F668">
        <v>2488</v>
      </c>
      <c r="G668">
        <v>446</v>
      </c>
      <c r="H668">
        <v>19962</v>
      </c>
      <c r="I668">
        <v>52</v>
      </c>
      <c r="J668">
        <f>SUM(C668:I668)</f>
        <v>32338</v>
      </c>
      <c r="L668"/>
    </row>
    <row r="669" spans="1:12" x14ac:dyDescent="0.35">
      <c r="A669" t="s">
        <v>56</v>
      </c>
      <c r="B669">
        <v>2020</v>
      </c>
      <c r="C669">
        <v>2061</v>
      </c>
      <c r="D669">
        <v>5254</v>
      </c>
      <c r="E669">
        <v>197</v>
      </c>
      <c r="F669">
        <v>9965</v>
      </c>
      <c r="G669">
        <v>969</v>
      </c>
      <c r="H669">
        <v>6729</v>
      </c>
      <c r="I669">
        <v>85</v>
      </c>
      <c r="J669">
        <f>SUM(C669:I669)</f>
        <v>25260</v>
      </c>
      <c r="L669"/>
    </row>
    <row r="670" spans="1:12" x14ac:dyDescent="0.35">
      <c r="A670" t="s">
        <v>45</v>
      </c>
      <c r="B670">
        <v>2020</v>
      </c>
      <c r="C670">
        <v>1657</v>
      </c>
      <c r="D670">
        <v>5364</v>
      </c>
      <c r="E670">
        <v>148</v>
      </c>
      <c r="F670">
        <v>4642</v>
      </c>
      <c r="G670">
        <v>90</v>
      </c>
      <c r="H670">
        <v>11408</v>
      </c>
      <c r="I670">
        <v>18</v>
      </c>
      <c r="J670">
        <f>SUM(C670:I670)</f>
        <v>23327</v>
      </c>
      <c r="L670"/>
    </row>
    <row r="671" spans="1:12" x14ac:dyDescent="0.35">
      <c r="A671" t="s">
        <v>61</v>
      </c>
      <c r="B671">
        <v>2020</v>
      </c>
      <c r="C671">
        <v>1211</v>
      </c>
      <c r="D671">
        <v>3775</v>
      </c>
      <c r="E671">
        <v>320</v>
      </c>
      <c r="F671">
        <v>12605</v>
      </c>
      <c r="G671">
        <v>615</v>
      </c>
      <c r="H671">
        <v>3659</v>
      </c>
      <c r="I671">
        <v>19</v>
      </c>
      <c r="J671">
        <f>SUM(C671:I671)</f>
        <v>22204</v>
      </c>
      <c r="L671"/>
    </row>
    <row r="672" spans="1:12" x14ac:dyDescent="0.35">
      <c r="A672" t="s">
        <v>55</v>
      </c>
      <c r="B672">
        <v>2020</v>
      </c>
      <c r="C672">
        <v>2339</v>
      </c>
      <c r="D672">
        <v>4782</v>
      </c>
      <c r="E672">
        <v>608</v>
      </c>
      <c r="F672">
        <v>5378</v>
      </c>
      <c r="G672">
        <v>200</v>
      </c>
      <c r="H672">
        <v>5540</v>
      </c>
      <c r="I672">
        <v>14</v>
      </c>
      <c r="J672">
        <f>SUM(C672:I672)</f>
        <v>18861</v>
      </c>
      <c r="L672"/>
    </row>
    <row r="673" spans="1:12" x14ac:dyDescent="0.35">
      <c r="A673" t="s">
        <v>43</v>
      </c>
      <c r="B673">
        <v>2020</v>
      </c>
      <c r="C673">
        <v>1095</v>
      </c>
      <c r="D673">
        <v>534</v>
      </c>
      <c r="E673">
        <v>111</v>
      </c>
      <c r="F673">
        <v>4886</v>
      </c>
      <c r="G673">
        <v>2342</v>
      </c>
      <c r="H673">
        <v>6546</v>
      </c>
      <c r="I673">
        <v>48</v>
      </c>
      <c r="J673">
        <f>SUM(C673:I673)</f>
        <v>15562</v>
      </c>
      <c r="L673"/>
    </row>
    <row r="674" spans="1:12" x14ac:dyDescent="0.35">
      <c r="A674" t="s">
        <v>66</v>
      </c>
      <c r="B674">
        <v>2020</v>
      </c>
      <c r="C674">
        <v>764</v>
      </c>
      <c r="D674">
        <v>1314</v>
      </c>
      <c r="E674">
        <v>158</v>
      </c>
      <c r="F674">
        <v>4907</v>
      </c>
      <c r="G674">
        <v>565</v>
      </c>
      <c r="H674">
        <v>7453</v>
      </c>
      <c r="I674">
        <v>13</v>
      </c>
      <c r="J674">
        <f>SUM(C674:I674)</f>
        <v>15174</v>
      </c>
      <c r="L674"/>
    </row>
    <row r="675" spans="1:12" x14ac:dyDescent="0.35">
      <c r="A675" t="s">
        <v>46</v>
      </c>
      <c r="B675">
        <v>2020</v>
      </c>
      <c r="C675">
        <v>806</v>
      </c>
      <c r="D675">
        <v>6671</v>
      </c>
      <c r="E675">
        <v>1046</v>
      </c>
      <c r="F675">
        <v>584</v>
      </c>
      <c r="G675">
        <v>6</v>
      </c>
      <c r="H675">
        <v>1935</v>
      </c>
      <c r="I675">
        <v>30</v>
      </c>
      <c r="J675">
        <f>SUM(C675:I675)</f>
        <v>11078</v>
      </c>
      <c r="L675"/>
    </row>
    <row r="676" spans="1:12" x14ac:dyDescent="0.35">
      <c r="A676" t="s">
        <v>50</v>
      </c>
      <c r="B676">
        <v>2020</v>
      </c>
      <c r="C676">
        <v>1373</v>
      </c>
      <c r="D676">
        <v>2423</v>
      </c>
      <c r="E676">
        <v>251</v>
      </c>
      <c r="F676">
        <v>2339</v>
      </c>
      <c r="G676">
        <v>183</v>
      </c>
      <c r="H676">
        <v>4119</v>
      </c>
      <c r="I676">
        <v>28</v>
      </c>
      <c r="J676">
        <f>SUM(C676:I676)</f>
        <v>10716</v>
      </c>
      <c r="L676"/>
    </row>
    <row r="677" spans="1:12" x14ac:dyDescent="0.35">
      <c r="A677" t="s">
        <v>74</v>
      </c>
      <c r="B677">
        <v>2020</v>
      </c>
      <c r="C677">
        <v>997</v>
      </c>
      <c r="D677">
        <v>2938</v>
      </c>
      <c r="E677">
        <v>110</v>
      </c>
      <c r="F677">
        <v>1840</v>
      </c>
      <c r="G677">
        <v>416</v>
      </c>
      <c r="H677">
        <v>2557</v>
      </c>
      <c r="I677">
        <v>3</v>
      </c>
      <c r="J677">
        <f>SUM(C677:I677)</f>
        <v>8861</v>
      </c>
      <c r="L677"/>
    </row>
    <row r="678" spans="1:12" x14ac:dyDescent="0.35">
      <c r="A678" t="s">
        <v>53</v>
      </c>
      <c r="B678">
        <v>2020</v>
      </c>
      <c r="C678">
        <v>504</v>
      </c>
      <c r="D678">
        <v>923</v>
      </c>
      <c r="E678">
        <v>176</v>
      </c>
      <c r="F678">
        <v>4751</v>
      </c>
      <c r="G678">
        <v>70</v>
      </c>
      <c r="H678">
        <v>2055</v>
      </c>
      <c r="I678">
        <v>159</v>
      </c>
      <c r="J678">
        <f>SUM(C678:I678)</f>
        <v>8638</v>
      </c>
      <c r="L678"/>
    </row>
    <row r="679" spans="1:12" x14ac:dyDescent="0.35">
      <c r="A679" t="s">
        <v>54</v>
      </c>
      <c r="B679">
        <v>2020</v>
      </c>
      <c r="C679">
        <v>637</v>
      </c>
      <c r="D679">
        <v>151</v>
      </c>
      <c r="E679">
        <v>6</v>
      </c>
      <c r="F679">
        <v>3890</v>
      </c>
      <c r="G679">
        <v>442</v>
      </c>
      <c r="H679">
        <v>2707</v>
      </c>
      <c r="I679">
        <v>5</v>
      </c>
      <c r="J679">
        <f>SUM(C679:I679)</f>
        <v>7838</v>
      </c>
      <c r="L679"/>
    </row>
    <row r="680" spans="1:12" x14ac:dyDescent="0.35">
      <c r="A680" t="s">
        <v>49</v>
      </c>
      <c r="B680">
        <v>2020</v>
      </c>
      <c r="C680">
        <v>486</v>
      </c>
      <c r="D680">
        <v>597</v>
      </c>
      <c r="E680">
        <v>6</v>
      </c>
      <c r="F680">
        <v>846</v>
      </c>
      <c r="G680">
        <v>17</v>
      </c>
      <c r="H680">
        <v>3345</v>
      </c>
      <c r="I680">
        <v>47</v>
      </c>
      <c r="J680">
        <f>SUM(C680:I680)</f>
        <v>5344</v>
      </c>
      <c r="L680"/>
    </row>
    <row r="681" spans="1:12" x14ac:dyDescent="0.35">
      <c r="A681" t="s">
        <v>47</v>
      </c>
      <c r="B681">
        <v>2020</v>
      </c>
      <c r="C681">
        <v>1210</v>
      </c>
      <c r="D681">
        <v>1341</v>
      </c>
      <c r="E681">
        <v>71</v>
      </c>
      <c r="F681">
        <v>1461</v>
      </c>
      <c r="G681">
        <v>279</v>
      </c>
      <c r="H681">
        <v>641</v>
      </c>
      <c r="I681">
        <v>3</v>
      </c>
      <c r="J681">
        <f>SUM(C681:I681)</f>
        <v>5006</v>
      </c>
      <c r="L681"/>
    </row>
    <row r="682" spans="1:12" x14ac:dyDescent="0.35">
      <c r="A682" t="s">
        <v>52</v>
      </c>
      <c r="B682">
        <v>2020</v>
      </c>
      <c r="C682">
        <v>1321</v>
      </c>
      <c r="D682">
        <v>993</v>
      </c>
      <c r="E682">
        <v>275</v>
      </c>
      <c r="F682">
        <v>1358</v>
      </c>
      <c r="G682">
        <v>6</v>
      </c>
      <c r="H682">
        <v>857</v>
      </c>
      <c r="I682">
        <v>2</v>
      </c>
      <c r="J682">
        <f>SUM(C682:I682)</f>
        <v>4812</v>
      </c>
      <c r="L682"/>
    </row>
    <row r="683" spans="1:12" x14ac:dyDescent="0.35">
      <c r="A683" t="s">
        <v>62</v>
      </c>
      <c r="B683">
        <v>2020</v>
      </c>
      <c r="C683">
        <v>502</v>
      </c>
      <c r="D683">
        <v>1241</v>
      </c>
      <c r="E683">
        <v>63</v>
      </c>
      <c r="F683">
        <v>731</v>
      </c>
      <c r="G683">
        <v>28</v>
      </c>
      <c r="H683">
        <v>1271</v>
      </c>
      <c r="I683">
        <v>11</v>
      </c>
      <c r="J683">
        <f>SUM(C683:I683)</f>
        <v>3847</v>
      </c>
      <c r="L683"/>
    </row>
    <row r="684" spans="1:12" x14ac:dyDescent="0.35">
      <c r="A684" t="s">
        <v>75</v>
      </c>
      <c r="B684">
        <v>2020</v>
      </c>
      <c r="C684">
        <v>243</v>
      </c>
      <c r="D684">
        <v>775</v>
      </c>
      <c r="E684">
        <v>9</v>
      </c>
      <c r="F684">
        <v>1744</v>
      </c>
      <c r="G684">
        <v>35</v>
      </c>
      <c r="H684">
        <v>349</v>
      </c>
      <c r="I684">
        <v>0</v>
      </c>
      <c r="J684">
        <f>SUM(C684:I684)</f>
        <v>3155</v>
      </c>
      <c r="L684"/>
    </row>
    <row r="685" spans="1:12" x14ac:dyDescent="0.35">
      <c r="A685" t="s">
        <v>65</v>
      </c>
      <c r="B685">
        <v>2020</v>
      </c>
      <c r="C685">
        <v>389</v>
      </c>
      <c r="D685">
        <v>633</v>
      </c>
      <c r="E685">
        <v>40</v>
      </c>
      <c r="F685">
        <v>892</v>
      </c>
      <c r="G685">
        <v>31</v>
      </c>
      <c r="H685">
        <v>689</v>
      </c>
      <c r="I685">
        <v>231</v>
      </c>
      <c r="J685">
        <f>SUM(C685:I685)</f>
        <v>2905</v>
      </c>
      <c r="L685"/>
    </row>
    <row r="686" spans="1:12" x14ac:dyDescent="0.35">
      <c r="A686" t="s">
        <v>69</v>
      </c>
      <c r="B686">
        <v>2020</v>
      </c>
      <c r="C686">
        <v>487</v>
      </c>
      <c r="D686">
        <v>349</v>
      </c>
      <c r="E686">
        <v>65</v>
      </c>
      <c r="F686">
        <v>474</v>
      </c>
      <c r="G686">
        <v>43</v>
      </c>
      <c r="H686">
        <v>668</v>
      </c>
      <c r="I686">
        <v>8</v>
      </c>
      <c r="J686">
        <f>SUM(C686:I686)</f>
        <v>2094</v>
      </c>
      <c r="L686"/>
    </row>
    <row r="687" spans="1:12" x14ac:dyDescent="0.35">
      <c r="A687" t="s">
        <v>51</v>
      </c>
      <c r="B687">
        <v>2020</v>
      </c>
      <c r="C687">
        <v>331</v>
      </c>
      <c r="D687">
        <v>281</v>
      </c>
      <c r="E687">
        <v>1</v>
      </c>
      <c r="F687">
        <v>538</v>
      </c>
      <c r="G687">
        <v>88</v>
      </c>
      <c r="H687">
        <v>259</v>
      </c>
      <c r="I687">
        <v>0</v>
      </c>
      <c r="J687">
        <f>SUM(C687:I687)</f>
        <v>1498</v>
      </c>
      <c r="L687"/>
    </row>
    <row r="688" spans="1:12" x14ac:dyDescent="0.35">
      <c r="A688" t="s">
        <v>67</v>
      </c>
      <c r="B688">
        <v>2020</v>
      </c>
      <c r="C688">
        <v>79</v>
      </c>
      <c r="D688">
        <v>110</v>
      </c>
      <c r="E688">
        <v>23</v>
      </c>
      <c r="F688">
        <v>115</v>
      </c>
      <c r="G688">
        <v>3</v>
      </c>
      <c r="H688">
        <v>356</v>
      </c>
      <c r="I688">
        <v>0</v>
      </c>
      <c r="J688">
        <f>SUM(C688:I688)</f>
        <v>686</v>
      </c>
      <c r="L688"/>
    </row>
    <row r="689" spans="1:12" x14ac:dyDescent="0.35">
      <c r="A689" t="s">
        <v>72</v>
      </c>
      <c r="B689">
        <v>2020</v>
      </c>
      <c r="C689">
        <v>60</v>
      </c>
      <c r="D689">
        <v>90</v>
      </c>
      <c r="E689">
        <v>1</v>
      </c>
      <c r="F689">
        <v>42</v>
      </c>
      <c r="G689">
        <v>4</v>
      </c>
      <c r="H689">
        <v>96</v>
      </c>
      <c r="I689">
        <v>0</v>
      </c>
      <c r="J689">
        <f>SUM(C689:I689)</f>
        <v>293</v>
      </c>
      <c r="L689"/>
    </row>
    <row r="690" spans="1:12" x14ac:dyDescent="0.35">
      <c r="A690" t="s">
        <v>44</v>
      </c>
      <c r="B690">
        <v>2020</v>
      </c>
      <c r="C690">
        <v>60</v>
      </c>
      <c r="D690">
        <v>45</v>
      </c>
      <c r="E690">
        <v>0</v>
      </c>
      <c r="F690">
        <v>73</v>
      </c>
      <c r="G690">
        <v>3</v>
      </c>
      <c r="H690">
        <v>69</v>
      </c>
      <c r="I690">
        <v>0</v>
      </c>
      <c r="J690">
        <f>SUM(C690:I690)</f>
        <v>250</v>
      </c>
      <c r="L690"/>
    </row>
    <row r="691" spans="1:12" x14ac:dyDescent="0.35">
      <c r="A691" t="s">
        <v>58</v>
      </c>
      <c r="B691">
        <v>2020</v>
      </c>
      <c r="C691">
        <v>67</v>
      </c>
      <c r="D691">
        <v>29</v>
      </c>
      <c r="E691">
        <v>1</v>
      </c>
      <c r="F691">
        <v>86</v>
      </c>
      <c r="G691">
        <v>16</v>
      </c>
      <c r="H691">
        <v>17</v>
      </c>
      <c r="I691">
        <v>0</v>
      </c>
      <c r="J691">
        <f>SUM(C691:I691)</f>
        <v>216</v>
      </c>
      <c r="L691"/>
    </row>
    <row r="692" spans="1:12" x14ac:dyDescent="0.35">
      <c r="A692" t="s">
        <v>48</v>
      </c>
      <c r="B692">
        <v>2020</v>
      </c>
      <c r="C692">
        <v>60</v>
      </c>
      <c r="D692">
        <v>31</v>
      </c>
      <c r="E692">
        <v>0</v>
      </c>
      <c r="F692">
        <v>67</v>
      </c>
      <c r="G692">
        <v>35</v>
      </c>
      <c r="H692">
        <v>8</v>
      </c>
      <c r="I692">
        <v>0</v>
      </c>
      <c r="J692">
        <f>SUM(C692:I692)</f>
        <v>201</v>
      </c>
      <c r="L692"/>
    </row>
    <row r="693" spans="1:12" x14ac:dyDescent="0.35">
      <c r="A693" t="s">
        <v>57</v>
      </c>
      <c r="B693">
        <v>2020</v>
      </c>
      <c r="C693">
        <v>32</v>
      </c>
      <c r="D693">
        <v>49</v>
      </c>
      <c r="E693">
        <v>1</v>
      </c>
      <c r="F693">
        <v>61</v>
      </c>
      <c r="G693">
        <v>8</v>
      </c>
      <c r="H693">
        <v>7</v>
      </c>
      <c r="I693">
        <v>0</v>
      </c>
      <c r="J693">
        <f>SUM(C693:I693)</f>
        <v>158</v>
      </c>
      <c r="L693"/>
    </row>
    <row r="694" spans="1:12" x14ac:dyDescent="0.35">
      <c r="A694" t="s">
        <v>59</v>
      </c>
      <c r="B694">
        <v>2020</v>
      </c>
      <c r="C694">
        <v>33</v>
      </c>
      <c r="D694">
        <v>1</v>
      </c>
      <c r="E694">
        <v>0</v>
      </c>
      <c r="F694">
        <v>26</v>
      </c>
      <c r="G694">
        <v>3</v>
      </c>
      <c r="H694">
        <v>7</v>
      </c>
      <c r="I694">
        <v>0</v>
      </c>
      <c r="J694">
        <f>SUM(C694:I694)</f>
        <v>70</v>
      </c>
      <c r="L694"/>
    </row>
    <row r="695" spans="1:12" x14ac:dyDescent="0.35">
      <c r="A695" t="s">
        <v>78</v>
      </c>
      <c r="B695">
        <v>2020</v>
      </c>
      <c r="C695">
        <v>8</v>
      </c>
      <c r="D695">
        <v>0</v>
      </c>
      <c r="E695">
        <v>2</v>
      </c>
      <c r="F695">
        <v>25</v>
      </c>
      <c r="G695">
        <v>0</v>
      </c>
      <c r="H695">
        <v>9</v>
      </c>
      <c r="I695">
        <v>0</v>
      </c>
      <c r="J695">
        <f>SUM(C695:I695)</f>
        <v>44</v>
      </c>
      <c r="L695"/>
    </row>
    <row r="696" spans="1:12" x14ac:dyDescent="0.35">
      <c r="A696" t="s">
        <v>64</v>
      </c>
      <c r="B696">
        <v>2020</v>
      </c>
      <c r="C696">
        <v>12</v>
      </c>
      <c r="D696">
        <v>11</v>
      </c>
      <c r="E696">
        <v>0</v>
      </c>
      <c r="F696">
        <v>18</v>
      </c>
      <c r="G696">
        <v>0</v>
      </c>
      <c r="H696">
        <v>1</v>
      </c>
      <c r="I696">
        <v>0</v>
      </c>
      <c r="J696">
        <f>SUM(C696:I696)</f>
        <v>42</v>
      </c>
      <c r="L696"/>
    </row>
    <row r="697" spans="1:12" x14ac:dyDescent="0.35">
      <c r="A697" t="s">
        <v>71</v>
      </c>
      <c r="B697">
        <v>2020</v>
      </c>
      <c r="C697">
        <v>2</v>
      </c>
      <c r="D697">
        <v>1</v>
      </c>
      <c r="E697">
        <v>0</v>
      </c>
      <c r="F697">
        <v>15</v>
      </c>
      <c r="G697">
        <v>3</v>
      </c>
      <c r="H697">
        <v>2</v>
      </c>
      <c r="I697">
        <v>0</v>
      </c>
      <c r="J697">
        <f>SUM(C697:I697)</f>
        <v>23</v>
      </c>
      <c r="L697"/>
    </row>
    <row r="698" spans="1:12" x14ac:dyDescent="0.35">
      <c r="A698" t="s">
        <v>60</v>
      </c>
      <c r="B698">
        <v>2020</v>
      </c>
      <c r="C698">
        <v>4</v>
      </c>
      <c r="D698">
        <v>6</v>
      </c>
      <c r="E698">
        <v>1</v>
      </c>
      <c r="F698">
        <v>7</v>
      </c>
      <c r="G698">
        <v>2</v>
      </c>
      <c r="H698">
        <v>2</v>
      </c>
      <c r="I698">
        <v>0</v>
      </c>
      <c r="J698">
        <f>SUM(C698:I698)</f>
        <v>22</v>
      </c>
      <c r="L698"/>
    </row>
    <row r="699" spans="1:12" x14ac:dyDescent="0.35">
      <c r="A699" t="s">
        <v>73</v>
      </c>
      <c r="B699">
        <v>2020</v>
      </c>
      <c r="C699">
        <v>4</v>
      </c>
      <c r="D699">
        <v>0</v>
      </c>
      <c r="E699">
        <v>1</v>
      </c>
      <c r="F699">
        <v>6</v>
      </c>
      <c r="G699">
        <v>3</v>
      </c>
      <c r="H699">
        <v>4</v>
      </c>
      <c r="I699">
        <v>0</v>
      </c>
      <c r="J699">
        <f>SUM(C699:I699)</f>
        <v>18</v>
      </c>
      <c r="L699"/>
    </row>
    <row r="700" spans="1:12" x14ac:dyDescent="0.35">
      <c r="A700" t="s">
        <v>76</v>
      </c>
      <c r="B700">
        <v>2020</v>
      </c>
      <c r="C700">
        <v>2</v>
      </c>
      <c r="D700">
        <v>0</v>
      </c>
      <c r="E700">
        <v>0</v>
      </c>
      <c r="F700">
        <v>4</v>
      </c>
      <c r="G700">
        <v>0</v>
      </c>
      <c r="H700">
        <v>3</v>
      </c>
      <c r="I700">
        <v>0</v>
      </c>
      <c r="J700">
        <f>SUM(C700:I700)</f>
        <v>9</v>
      </c>
      <c r="L700"/>
    </row>
    <row r="701" spans="1:12" x14ac:dyDescent="0.35">
      <c r="A701" t="s">
        <v>77</v>
      </c>
      <c r="B701">
        <v>2020</v>
      </c>
      <c r="C701">
        <v>3</v>
      </c>
      <c r="D701">
        <v>0</v>
      </c>
      <c r="E701">
        <v>0</v>
      </c>
      <c r="F701">
        <v>3</v>
      </c>
      <c r="G701">
        <v>1</v>
      </c>
      <c r="H701">
        <v>0</v>
      </c>
      <c r="I701">
        <v>0</v>
      </c>
      <c r="J701">
        <f>SUM(C701:I701)</f>
        <v>7</v>
      </c>
      <c r="L701"/>
    </row>
    <row r="702" spans="1:12" x14ac:dyDescent="0.35">
      <c r="A702" t="s">
        <v>68</v>
      </c>
      <c r="B702">
        <v>2021</v>
      </c>
      <c r="C702">
        <v>2845</v>
      </c>
      <c r="D702">
        <v>10574</v>
      </c>
      <c r="E702">
        <v>2222</v>
      </c>
      <c r="F702">
        <v>9393</v>
      </c>
      <c r="G702">
        <v>27</v>
      </c>
      <c r="H702">
        <v>18375</v>
      </c>
      <c r="I702">
        <v>12</v>
      </c>
      <c r="J702">
        <f>SUM(C702:I702)</f>
        <v>43448</v>
      </c>
      <c r="L702"/>
    </row>
    <row r="703" spans="1:12" x14ac:dyDescent="0.35">
      <c r="A703" t="s">
        <v>63</v>
      </c>
      <c r="B703">
        <v>2021</v>
      </c>
      <c r="C703">
        <v>6337</v>
      </c>
      <c r="D703">
        <v>5964</v>
      </c>
      <c r="E703">
        <v>452</v>
      </c>
      <c r="F703">
        <v>9079</v>
      </c>
      <c r="G703">
        <v>73</v>
      </c>
      <c r="H703">
        <v>16949</v>
      </c>
      <c r="I703">
        <v>40</v>
      </c>
      <c r="J703">
        <f>SUM(C703:I703)</f>
        <v>38894</v>
      </c>
      <c r="L703"/>
    </row>
    <row r="704" spans="1:12" x14ac:dyDescent="0.35">
      <c r="A704" t="s">
        <v>56</v>
      </c>
      <c r="B704">
        <v>2021</v>
      </c>
      <c r="C704">
        <v>2496</v>
      </c>
      <c r="D704">
        <v>7559</v>
      </c>
      <c r="E704">
        <v>172</v>
      </c>
      <c r="F704">
        <v>10568</v>
      </c>
      <c r="G704">
        <v>1038</v>
      </c>
      <c r="H704">
        <v>10095</v>
      </c>
      <c r="I704">
        <v>95</v>
      </c>
      <c r="J704">
        <f>SUM(C704:I704)</f>
        <v>32023</v>
      </c>
      <c r="L704"/>
    </row>
    <row r="705" spans="1:12" x14ac:dyDescent="0.35">
      <c r="A705" t="s">
        <v>70</v>
      </c>
      <c r="B705">
        <v>2021</v>
      </c>
      <c r="C705">
        <v>1123</v>
      </c>
      <c r="D705">
        <v>7376</v>
      </c>
      <c r="E705">
        <v>454</v>
      </c>
      <c r="F705">
        <v>2485</v>
      </c>
      <c r="G705">
        <v>424</v>
      </c>
      <c r="H705">
        <v>19952</v>
      </c>
      <c r="I705">
        <v>50</v>
      </c>
      <c r="J705">
        <f>SUM(C705:I705)</f>
        <v>31864</v>
      </c>
      <c r="L705"/>
    </row>
    <row r="706" spans="1:12" x14ac:dyDescent="0.35">
      <c r="A706" t="s">
        <v>61</v>
      </c>
      <c r="B706">
        <v>2021</v>
      </c>
      <c r="C706">
        <v>1456</v>
      </c>
      <c r="D706">
        <v>5175</v>
      </c>
      <c r="E706">
        <v>293</v>
      </c>
      <c r="F706">
        <v>14853</v>
      </c>
      <c r="G706">
        <v>838</v>
      </c>
      <c r="H706">
        <v>4889</v>
      </c>
      <c r="I706">
        <v>31</v>
      </c>
      <c r="J706">
        <f>SUM(C706:I706)</f>
        <v>27535</v>
      </c>
      <c r="L706"/>
    </row>
    <row r="707" spans="1:12" x14ac:dyDescent="0.35">
      <c r="A707" t="s">
        <v>45</v>
      </c>
      <c r="B707">
        <v>2021</v>
      </c>
      <c r="C707">
        <v>1733</v>
      </c>
      <c r="D707">
        <v>5739</v>
      </c>
      <c r="E707">
        <v>198</v>
      </c>
      <c r="F707">
        <v>4499</v>
      </c>
      <c r="G707">
        <v>184</v>
      </c>
      <c r="H707">
        <v>12950</v>
      </c>
      <c r="I707">
        <v>22</v>
      </c>
      <c r="J707">
        <f>SUM(C707:I707)</f>
        <v>25325</v>
      </c>
      <c r="L707"/>
    </row>
    <row r="708" spans="1:12" x14ac:dyDescent="0.35">
      <c r="A708" t="s">
        <v>55</v>
      </c>
      <c r="B708">
        <v>2021</v>
      </c>
      <c r="C708">
        <v>2947</v>
      </c>
      <c r="D708">
        <v>6106</v>
      </c>
      <c r="E708">
        <v>522</v>
      </c>
      <c r="F708">
        <v>5760</v>
      </c>
      <c r="G708">
        <v>250</v>
      </c>
      <c r="H708">
        <v>7929</v>
      </c>
      <c r="I708">
        <v>15</v>
      </c>
      <c r="J708">
        <f>SUM(C708:I708)</f>
        <v>23529</v>
      </c>
      <c r="L708"/>
    </row>
    <row r="709" spans="1:12" x14ac:dyDescent="0.35">
      <c r="A709" t="s">
        <v>66</v>
      </c>
      <c r="B709">
        <v>2021</v>
      </c>
      <c r="C709">
        <v>823</v>
      </c>
      <c r="D709">
        <v>1934</v>
      </c>
      <c r="E709">
        <v>175</v>
      </c>
      <c r="F709">
        <v>4365</v>
      </c>
      <c r="G709">
        <v>775</v>
      </c>
      <c r="H709">
        <v>9468</v>
      </c>
      <c r="I709">
        <v>12</v>
      </c>
      <c r="J709">
        <f>SUM(C709:I709)</f>
        <v>17552</v>
      </c>
      <c r="L709"/>
    </row>
    <row r="710" spans="1:12" x14ac:dyDescent="0.35">
      <c r="A710" t="s">
        <v>43</v>
      </c>
      <c r="B710">
        <v>2021</v>
      </c>
      <c r="C710">
        <v>1188</v>
      </c>
      <c r="D710">
        <v>613</v>
      </c>
      <c r="E710">
        <v>108</v>
      </c>
      <c r="F710">
        <v>5108</v>
      </c>
      <c r="G710">
        <v>2370</v>
      </c>
      <c r="H710">
        <v>7092</v>
      </c>
      <c r="I710">
        <v>70</v>
      </c>
      <c r="J710">
        <f>SUM(C710:I710)</f>
        <v>16549</v>
      </c>
      <c r="L710"/>
    </row>
    <row r="711" spans="1:12" x14ac:dyDescent="0.35">
      <c r="A711" t="s">
        <v>50</v>
      </c>
      <c r="B711">
        <v>2021</v>
      </c>
      <c r="C711">
        <v>1716</v>
      </c>
      <c r="D711">
        <v>2958</v>
      </c>
      <c r="E711">
        <v>275</v>
      </c>
      <c r="F711">
        <v>2882</v>
      </c>
      <c r="G711">
        <v>290</v>
      </c>
      <c r="H711">
        <v>5755</v>
      </c>
      <c r="I711">
        <v>28</v>
      </c>
      <c r="J711">
        <f>SUM(C711:I711)</f>
        <v>13904</v>
      </c>
      <c r="L711"/>
    </row>
    <row r="712" spans="1:12" x14ac:dyDescent="0.35">
      <c r="A712" t="s">
        <v>46</v>
      </c>
      <c r="B712">
        <v>2021</v>
      </c>
      <c r="C712">
        <v>786</v>
      </c>
      <c r="D712">
        <v>8661</v>
      </c>
      <c r="E712">
        <v>1000</v>
      </c>
      <c r="F712">
        <v>387</v>
      </c>
      <c r="G712">
        <v>1</v>
      </c>
      <c r="H712">
        <v>2069</v>
      </c>
      <c r="I712">
        <v>32</v>
      </c>
      <c r="J712">
        <f>SUM(C712:I712)</f>
        <v>12936</v>
      </c>
      <c r="L712"/>
    </row>
    <row r="713" spans="1:12" x14ac:dyDescent="0.35">
      <c r="A713" t="s">
        <v>74</v>
      </c>
      <c r="B713">
        <v>2021</v>
      </c>
      <c r="C713">
        <v>1250</v>
      </c>
      <c r="D713">
        <v>4083</v>
      </c>
      <c r="E713">
        <v>141</v>
      </c>
      <c r="F713">
        <v>2068</v>
      </c>
      <c r="G713">
        <v>417</v>
      </c>
      <c r="H713">
        <v>4731</v>
      </c>
      <c r="I713">
        <v>4</v>
      </c>
      <c r="J713">
        <f>SUM(C713:I713)</f>
        <v>12694</v>
      </c>
      <c r="L713"/>
    </row>
    <row r="714" spans="1:12" x14ac:dyDescent="0.35">
      <c r="A714" t="s">
        <v>54</v>
      </c>
      <c r="B714">
        <v>2021</v>
      </c>
      <c r="C714">
        <v>771</v>
      </c>
      <c r="D714">
        <v>179</v>
      </c>
      <c r="E714">
        <v>9</v>
      </c>
      <c r="F714">
        <v>4059</v>
      </c>
      <c r="G714">
        <v>504</v>
      </c>
      <c r="H714">
        <v>4997</v>
      </c>
      <c r="I714">
        <v>5</v>
      </c>
      <c r="J714">
        <f>SUM(C714:I714)</f>
        <v>10524</v>
      </c>
      <c r="L714"/>
    </row>
    <row r="715" spans="1:12" x14ac:dyDescent="0.35">
      <c r="A715" t="s">
        <v>53</v>
      </c>
      <c r="B715">
        <v>2021</v>
      </c>
      <c r="C715">
        <v>555</v>
      </c>
      <c r="D715">
        <v>906</v>
      </c>
      <c r="E715">
        <v>158</v>
      </c>
      <c r="F715">
        <v>5105</v>
      </c>
      <c r="G715">
        <v>71</v>
      </c>
      <c r="H715">
        <v>2336</v>
      </c>
      <c r="I715">
        <v>190</v>
      </c>
      <c r="J715">
        <f>SUM(C715:I715)</f>
        <v>9321</v>
      </c>
      <c r="L715"/>
    </row>
    <row r="716" spans="1:12" x14ac:dyDescent="0.35">
      <c r="A716" t="s">
        <v>52</v>
      </c>
      <c r="B716">
        <v>2021</v>
      </c>
      <c r="C716">
        <v>1425</v>
      </c>
      <c r="D716">
        <v>1159</v>
      </c>
      <c r="E716">
        <v>281</v>
      </c>
      <c r="F716">
        <v>1335</v>
      </c>
      <c r="G716">
        <v>6</v>
      </c>
      <c r="H716">
        <v>931</v>
      </c>
      <c r="I716">
        <v>3</v>
      </c>
      <c r="J716">
        <f>SUM(C716:I716)</f>
        <v>5140</v>
      </c>
      <c r="L716"/>
    </row>
    <row r="717" spans="1:12" x14ac:dyDescent="0.35">
      <c r="A717" t="s">
        <v>47</v>
      </c>
      <c r="B717">
        <v>2021</v>
      </c>
      <c r="C717">
        <v>1093</v>
      </c>
      <c r="D717">
        <v>1158</v>
      </c>
      <c r="E717">
        <v>65</v>
      </c>
      <c r="F717">
        <v>1248</v>
      </c>
      <c r="G717">
        <v>238</v>
      </c>
      <c r="H717">
        <v>963</v>
      </c>
      <c r="I717">
        <v>3</v>
      </c>
      <c r="J717">
        <f>SUM(C717:I717)</f>
        <v>4768</v>
      </c>
      <c r="L717"/>
    </row>
    <row r="718" spans="1:12" x14ac:dyDescent="0.35">
      <c r="A718" t="s">
        <v>62</v>
      </c>
      <c r="B718">
        <v>2021</v>
      </c>
      <c r="C718">
        <v>464</v>
      </c>
      <c r="D718">
        <v>1616</v>
      </c>
      <c r="E718">
        <v>69</v>
      </c>
      <c r="F718">
        <v>678</v>
      </c>
      <c r="G718">
        <v>39</v>
      </c>
      <c r="H718">
        <v>1714</v>
      </c>
      <c r="I718">
        <v>12</v>
      </c>
      <c r="J718">
        <f>SUM(C718:I718)</f>
        <v>4592</v>
      </c>
      <c r="L718"/>
    </row>
    <row r="719" spans="1:12" x14ac:dyDescent="0.35">
      <c r="A719" t="s">
        <v>49</v>
      </c>
      <c r="B719">
        <v>2021</v>
      </c>
      <c r="C719">
        <v>589</v>
      </c>
      <c r="D719">
        <v>881</v>
      </c>
      <c r="E719">
        <v>11</v>
      </c>
      <c r="F719">
        <v>660</v>
      </c>
      <c r="G719">
        <v>7</v>
      </c>
      <c r="H719">
        <v>2271</v>
      </c>
      <c r="I719">
        <v>38</v>
      </c>
      <c r="J719">
        <f>SUM(C719:I719)</f>
        <v>4457</v>
      </c>
      <c r="L719"/>
    </row>
    <row r="720" spans="1:12" x14ac:dyDescent="0.35">
      <c r="A720" t="s">
        <v>75</v>
      </c>
      <c r="B720">
        <v>2021</v>
      </c>
      <c r="C720">
        <v>315</v>
      </c>
      <c r="D720">
        <v>904</v>
      </c>
      <c r="E720">
        <v>16</v>
      </c>
      <c r="F720">
        <v>1851</v>
      </c>
      <c r="G720">
        <v>10</v>
      </c>
      <c r="H720">
        <v>501</v>
      </c>
      <c r="I720">
        <v>1</v>
      </c>
      <c r="J720">
        <f>SUM(C720:I720)</f>
        <v>3598</v>
      </c>
      <c r="L720"/>
    </row>
    <row r="721" spans="1:12" x14ac:dyDescent="0.35">
      <c r="A721" t="s">
        <v>65</v>
      </c>
      <c r="B721">
        <v>2021</v>
      </c>
      <c r="C721">
        <v>422</v>
      </c>
      <c r="D721">
        <v>638</v>
      </c>
      <c r="E721">
        <v>27</v>
      </c>
      <c r="F721">
        <v>1077</v>
      </c>
      <c r="G721">
        <v>32</v>
      </c>
      <c r="H721">
        <v>875</v>
      </c>
      <c r="I721">
        <v>381</v>
      </c>
      <c r="J721">
        <f>SUM(C721:I721)</f>
        <v>3452</v>
      </c>
      <c r="L721"/>
    </row>
    <row r="722" spans="1:12" x14ac:dyDescent="0.35">
      <c r="A722" t="s">
        <v>69</v>
      </c>
      <c r="B722">
        <v>2021</v>
      </c>
      <c r="C722">
        <v>534</v>
      </c>
      <c r="D722">
        <v>402</v>
      </c>
      <c r="E722">
        <v>72</v>
      </c>
      <c r="F722">
        <v>655</v>
      </c>
      <c r="G722">
        <v>13</v>
      </c>
      <c r="H722">
        <v>519</v>
      </c>
      <c r="I722">
        <v>17</v>
      </c>
      <c r="J722">
        <f>SUM(C722:I722)</f>
        <v>2212</v>
      </c>
      <c r="L722"/>
    </row>
    <row r="723" spans="1:12" x14ac:dyDescent="0.35">
      <c r="A723" t="s">
        <v>51</v>
      </c>
      <c r="B723">
        <v>2021</v>
      </c>
      <c r="C723">
        <v>358</v>
      </c>
      <c r="D723">
        <v>344</v>
      </c>
      <c r="E723">
        <v>2</v>
      </c>
      <c r="F723">
        <v>487</v>
      </c>
      <c r="G723">
        <v>94</v>
      </c>
      <c r="H723">
        <v>221</v>
      </c>
      <c r="I723">
        <v>6</v>
      </c>
      <c r="J723">
        <f>SUM(C723:I723)</f>
        <v>1512</v>
      </c>
      <c r="L723"/>
    </row>
    <row r="724" spans="1:12" x14ac:dyDescent="0.35">
      <c r="A724" t="s">
        <v>67</v>
      </c>
      <c r="B724">
        <v>2021</v>
      </c>
      <c r="C724">
        <v>61</v>
      </c>
      <c r="D724">
        <v>115</v>
      </c>
      <c r="E724">
        <v>22</v>
      </c>
      <c r="F724">
        <v>94</v>
      </c>
      <c r="G724">
        <v>1</v>
      </c>
      <c r="H724">
        <v>355</v>
      </c>
      <c r="I724">
        <v>0</v>
      </c>
      <c r="J724">
        <f>SUM(C724:I724)</f>
        <v>648</v>
      </c>
      <c r="L724"/>
    </row>
    <row r="725" spans="1:12" x14ac:dyDescent="0.35">
      <c r="A725" t="s">
        <v>72</v>
      </c>
      <c r="B725">
        <v>2021</v>
      </c>
      <c r="C725">
        <v>74</v>
      </c>
      <c r="D725">
        <v>120</v>
      </c>
      <c r="E725">
        <v>4</v>
      </c>
      <c r="F725">
        <v>37</v>
      </c>
      <c r="G725">
        <v>6</v>
      </c>
      <c r="H725">
        <v>95</v>
      </c>
      <c r="I725">
        <v>0</v>
      </c>
      <c r="J725">
        <f>SUM(C725:I725)</f>
        <v>336</v>
      </c>
      <c r="L725"/>
    </row>
    <row r="726" spans="1:12" x14ac:dyDescent="0.35">
      <c r="A726" t="s">
        <v>44</v>
      </c>
      <c r="B726">
        <v>2021</v>
      </c>
      <c r="C726">
        <v>83</v>
      </c>
      <c r="D726">
        <v>50</v>
      </c>
      <c r="E726">
        <v>0</v>
      </c>
      <c r="F726">
        <v>74</v>
      </c>
      <c r="G726">
        <v>10</v>
      </c>
      <c r="H726">
        <v>112</v>
      </c>
      <c r="I726">
        <v>0</v>
      </c>
      <c r="J726">
        <f>SUM(C726:I726)</f>
        <v>329</v>
      </c>
      <c r="L726"/>
    </row>
    <row r="727" spans="1:12" x14ac:dyDescent="0.35">
      <c r="A727" t="s">
        <v>58</v>
      </c>
      <c r="B727">
        <v>2021</v>
      </c>
      <c r="C727">
        <v>75</v>
      </c>
      <c r="D727">
        <v>42</v>
      </c>
      <c r="E727">
        <v>0</v>
      </c>
      <c r="F727">
        <v>92</v>
      </c>
      <c r="G727">
        <v>24</v>
      </c>
      <c r="H727">
        <v>21</v>
      </c>
      <c r="I727">
        <v>3</v>
      </c>
      <c r="J727">
        <f>SUM(C727:I727)</f>
        <v>257</v>
      </c>
      <c r="L727"/>
    </row>
    <row r="728" spans="1:12" x14ac:dyDescent="0.35">
      <c r="A728" t="s">
        <v>48</v>
      </c>
      <c r="B728">
        <v>2021</v>
      </c>
      <c r="C728">
        <v>72</v>
      </c>
      <c r="D728">
        <v>39</v>
      </c>
      <c r="E728">
        <v>0</v>
      </c>
      <c r="F728">
        <v>74</v>
      </c>
      <c r="G728">
        <v>20</v>
      </c>
      <c r="H728">
        <v>1</v>
      </c>
      <c r="I728">
        <v>1</v>
      </c>
      <c r="J728">
        <f>SUM(C728:I728)</f>
        <v>207</v>
      </c>
      <c r="L728"/>
    </row>
    <row r="729" spans="1:12" x14ac:dyDescent="0.35">
      <c r="A729" t="s">
        <v>57</v>
      </c>
      <c r="B729">
        <v>2021</v>
      </c>
      <c r="C729">
        <v>26</v>
      </c>
      <c r="D729">
        <v>44</v>
      </c>
      <c r="E729">
        <v>2</v>
      </c>
      <c r="F729">
        <v>92</v>
      </c>
      <c r="G729">
        <v>16</v>
      </c>
      <c r="H729">
        <v>18</v>
      </c>
      <c r="I729">
        <v>0</v>
      </c>
      <c r="J729">
        <f>SUM(C729:I729)</f>
        <v>198</v>
      </c>
      <c r="L729"/>
    </row>
    <row r="730" spans="1:12" x14ac:dyDescent="0.35">
      <c r="A730" t="s">
        <v>59</v>
      </c>
      <c r="B730">
        <v>2021</v>
      </c>
      <c r="C730">
        <v>26</v>
      </c>
      <c r="D730">
        <v>0</v>
      </c>
      <c r="E730">
        <v>0</v>
      </c>
      <c r="F730">
        <v>31</v>
      </c>
      <c r="G730">
        <v>0</v>
      </c>
      <c r="H730">
        <v>11</v>
      </c>
      <c r="I730">
        <v>0</v>
      </c>
      <c r="J730">
        <f>SUM(C730:I730)</f>
        <v>68</v>
      </c>
      <c r="L730"/>
    </row>
    <row r="731" spans="1:12" x14ac:dyDescent="0.35">
      <c r="A731" t="s">
        <v>71</v>
      </c>
      <c r="B731">
        <v>2021</v>
      </c>
      <c r="C731">
        <v>15</v>
      </c>
      <c r="D731">
        <v>0</v>
      </c>
      <c r="E731">
        <v>1</v>
      </c>
      <c r="F731">
        <v>32</v>
      </c>
      <c r="G731">
        <v>4</v>
      </c>
      <c r="H731">
        <v>4</v>
      </c>
      <c r="I731">
        <v>0</v>
      </c>
      <c r="J731">
        <f>SUM(C731:I731)</f>
        <v>56</v>
      </c>
      <c r="L731"/>
    </row>
    <row r="732" spans="1:12" x14ac:dyDescent="0.35">
      <c r="A732" t="s">
        <v>78</v>
      </c>
      <c r="B732">
        <v>2021</v>
      </c>
      <c r="C732">
        <v>2</v>
      </c>
      <c r="D732">
        <v>0</v>
      </c>
      <c r="E732">
        <v>2</v>
      </c>
      <c r="F732">
        <v>31</v>
      </c>
      <c r="G732">
        <v>3</v>
      </c>
      <c r="H732">
        <v>12</v>
      </c>
      <c r="I732">
        <v>0</v>
      </c>
      <c r="J732">
        <f>SUM(C732:I732)</f>
        <v>50</v>
      </c>
      <c r="L732"/>
    </row>
    <row r="733" spans="1:12" x14ac:dyDescent="0.35">
      <c r="A733" t="s">
        <v>73</v>
      </c>
      <c r="B733">
        <v>2021</v>
      </c>
      <c r="C733">
        <v>3</v>
      </c>
      <c r="D733">
        <v>23</v>
      </c>
      <c r="E733">
        <v>0</v>
      </c>
      <c r="F733">
        <v>7</v>
      </c>
      <c r="G733">
        <v>0</v>
      </c>
      <c r="H733">
        <v>6</v>
      </c>
      <c r="I733">
        <v>0</v>
      </c>
      <c r="J733">
        <f>SUM(C733:I733)</f>
        <v>39</v>
      </c>
      <c r="L733"/>
    </row>
    <row r="734" spans="1:12" x14ac:dyDescent="0.35">
      <c r="A734" t="s">
        <v>64</v>
      </c>
      <c r="B734">
        <v>2021</v>
      </c>
      <c r="C734">
        <v>8</v>
      </c>
      <c r="D734">
        <v>1</v>
      </c>
      <c r="E734">
        <v>0</v>
      </c>
      <c r="F734">
        <v>17</v>
      </c>
      <c r="G734">
        <v>0</v>
      </c>
      <c r="H734">
        <v>3</v>
      </c>
      <c r="I734">
        <v>0</v>
      </c>
      <c r="J734">
        <f>SUM(C734:I734)</f>
        <v>29</v>
      </c>
      <c r="L734"/>
    </row>
    <row r="735" spans="1:12" x14ac:dyDescent="0.35">
      <c r="A735" t="s">
        <v>60</v>
      </c>
      <c r="B735">
        <v>2021</v>
      </c>
      <c r="C735">
        <v>4</v>
      </c>
      <c r="D735">
        <v>5</v>
      </c>
      <c r="E735">
        <v>0</v>
      </c>
      <c r="F735">
        <v>11</v>
      </c>
      <c r="G735">
        <v>1</v>
      </c>
      <c r="H735">
        <v>2</v>
      </c>
      <c r="I735">
        <v>0</v>
      </c>
      <c r="J735">
        <f>SUM(C735:I735)</f>
        <v>23</v>
      </c>
      <c r="L735"/>
    </row>
    <row r="736" spans="1:12" x14ac:dyDescent="0.35">
      <c r="A736" t="s">
        <v>76</v>
      </c>
      <c r="B736">
        <v>2021</v>
      </c>
      <c r="C736">
        <v>2</v>
      </c>
      <c r="D736">
        <v>1</v>
      </c>
      <c r="E736">
        <v>0</v>
      </c>
      <c r="F736">
        <v>5</v>
      </c>
      <c r="G736">
        <v>1</v>
      </c>
      <c r="H736">
        <v>9</v>
      </c>
      <c r="I736">
        <v>0</v>
      </c>
      <c r="J736">
        <f>SUM(C736:I736)</f>
        <v>18</v>
      </c>
      <c r="L736"/>
    </row>
    <row r="737" spans="1:12" x14ac:dyDescent="0.35">
      <c r="A737" t="s">
        <v>77</v>
      </c>
      <c r="B737">
        <v>2021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3</v>
      </c>
      <c r="I737">
        <v>0</v>
      </c>
      <c r="J737">
        <f>SUM(C737:I737)</f>
        <v>5</v>
      </c>
      <c r="L737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0846AD-3739-41FA-8E9B-88FEB2C369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Sheet5</vt:lpstr>
      <vt:lpstr>Sheet2</vt:lpstr>
      <vt:lpstr>Sheet3</vt:lpstr>
      <vt:lpstr>Sheet11</vt:lpstr>
      <vt:lpstr>Sheet4</vt:lpstr>
      <vt:lpstr>Sheet6</vt:lpstr>
      <vt:lpstr>Sheet7</vt:lpstr>
      <vt:lpstr>Sheet8</vt:lpstr>
      <vt:lpstr>Sheet9</vt:lpstr>
      <vt:lpstr>Sheet15</vt:lpstr>
      <vt:lpstr>Sheet17</vt:lpstr>
      <vt:lpstr>CrimesOnWomenData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2025-12-13T17:28:41Z</dcterms:created>
  <dcterms:modified xsi:type="dcterms:W3CDTF">2025-12-23T17:00:49Z</dcterms:modified>
</cp:coreProperties>
</file>